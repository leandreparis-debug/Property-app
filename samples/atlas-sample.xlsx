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férentiel" state="visible" r:id="rId4"/>
  </sheets>
  <calcPr calcId="171027"/>
</workbook>
</file>

<file path=xl/sharedStrings.xml><?xml version="1.0" encoding="utf-8"?>
<sst xmlns="http://schemas.openxmlformats.org/spreadsheetml/2006/main" count="1342" uniqueCount="497">
  <si>
    <t>RÉFÉRENTIEL ENTREPÔTS — EXPORT FICTIF</t>
  </si>
  <si>
    <t>Données entièrement fictives, générées pour les tests d'import d'Atlas — aucune donnée réelle.</t>
  </si>
  <si>
    <t>ENTREPOT</t>
  </si>
  <si>
    <t>CODE BAIL</t>
  </si>
  <si>
    <t>CLES QLICKSENS</t>
  </si>
  <si>
    <t>CODE AL</t>
  </si>
  <si>
    <t>N°</t>
  </si>
  <si>
    <t xml:space="preserve">NOM
ENTREPOT</t>
  </si>
  <si>
    <t>PORTEFEUILLE PROPERTY</t>
  </si>
  <si>
    <t>BU OCCUPANTE</t>
  </si>
  <si>
    <t>BASSIN BU</t>
  </si>
  <si>
    <t>PAYS</t>
  </si>
  <si>
    <t>RESPONSABLE DE REGION (DLR)</t>
  </si>
  <si>
    <t>RESPONSABLE TECHNIQUE REGIONAL (RTR)</t>
  </si>
  <si>
    <t>RAMSES</t>
  </si>
  <si>
    <t>ENTITE PORTANT LE BAIL</t>
  </si>
  <si>
    <t>STATUT D'OCCUPATION</t>
  </si>
  <si>
    <t>PROPRIETAIRE DES MURS</t>
  </si>
  <si>
    <t>SCI SUR ACTIF</t>
  </si>
  <si>
    <t>PROPERTY MANAGER</t>
  </si>
  <si>
    <t>STATUT</t>
  </si>
  <si>
    <t>EN ACTIVITE</t>
  </si>
  <si>
    <t>MODE D'EXPLOITATION</t>
  </si>
  <si>
    <t>EXPLOITANT LOGISTIQUE</t>
  </si>
  <si>
    <t>ADRESSE</t>
  </si>
  <si>
    <t>DEPARTEMENT</t>
  </si>
  <si>
    <t>REGION</t>
  </si>
  <si>
    <t>LAT</t>
  </si>
  <si>
    <t>LONG</t>
  </si>
  <si>
    <t>SECTEUR DE DISTRIBUTION</t>
  </si>
  <si>
    <t>TYPOLOGIE</t>
  </si>
  <si>
    <t>ACTIVITE CIBLE</t>
  </si>
  <si>
    <t>MAGASINS DESSERVIS</t>
  </si>
  <si>
    <t>NOMBRE MAGASIN DESSERVIS</t>
  </si>
  <si>
    <t>BAIL</t>
  </si>
  <si>
    <t>PLANS</t>
  </si>
  <si>
    <t>DOSSIER ADMINISTRATIF</t>
  </si>
  <si>
    <t>ENTREE EN ACTIVITE</t>
  </si>
  <si>
    <t>DATE D'EFFET BAIL INITIAL</t>
  </si>
  <si>
    <t>DATE D'EFFET DERNIER AVENANT</t>
  </si>
  <si>
    <t>MODALITES DU BAIL EN COURS</t>
  </si>
  <si>
    <t>FRANCHISE DE LOYER INITIAL</t>
  </si>
  <si>
    <t xml:space="preserve">DATE DE FIN
DE BAIL</t>
  </si>
  <si>
    <t xml:space="preserve">PROCHAINE DATE
DE SORTIE</t>
  </si>
  <si>
    <t>DUREE DE PREAVIS</t>
  </si>
  <si>
    <t>DATE DE PREAVIS</t>
  </si>
  <si>
    <t>DATE D'ARBITRAGE POUR ECHEANCE CONTRACTUELLE (6 MOIS AVANT)</t>
  </si>
  <si>
    <t>AVANCEMENT NEGOCIATION</t>
  </si>
  <si>
    <t>ACTUALITES</t>
  </si>
  <si>
    <t>CONDITIONS RENOUVELLEMENT SIGNEES</t>
  </si>
  <si>
    <t>LOYER 2022</t>
  </si>
  <si>
    <t>LOYER 2023</t>
  </si>
  <si>
    <t>LOYER 2023 /M²</t>
  </si>
  <si>
    <t>LOYER 2024</t>
  </si>
  <si>
    <t>LOYER 2024 /M²</t>
  </si>
  <si>
    <t>EVOLUTION 2024 LOYER N-1</t>
  </si>
  <si>
    <t>LOYER 2025</t>
  </si>
  <si>
    <t>LOYER 2025 /M²</t>
  </si>
  <si>
    <t>EVOLUTION 2025 LOYER N-1</t>
  </si>
  <si>
    <t>LOYER 2026</t>
  </si>
  <si>
    <t>LOYER 2026 /M²</t>
  </si>
  <si>
    <t>EVOLUTION 2026 LOYER N-1</t>
  </si>
  <si>
    <t>LOYER PERCU 2026</t>
  </si>
  <si>
    <t>MONTANT FRANCHISE</t>
  </si>
  <si>
    <t>FRANCHISE MOIS</t>
  </si>
  <si>
    <t>DUREE SUPPLEMENTAIRE</t>
  </si>
  <si>
    <t>LOYER ECONOMIQUE / M²</t>
  </si>
  <si>
    <t>VLM</t>
  </si>
  <si>
    <t>INDEXATION</t>
  </si>
  <si>
    <t>REVISION DE LOYER</t>
  </si>
  <si>
    <t>M² BUREAUX/M²TOTAL</t>
  </si>
  <si>
    <t>PRIX BUREAUX / M2</t>
  </si>
  <si>
    <t>COMMENTAIRES LOYER</t>
  </si>
  <si>
    <t>PORTEUR DE L'ICPE</t>
  </si>
  <si>
    <t>PRINCIPALES RUBRIQUES ICPE</t>
  </si>
  <si>
    <t>Lien Géorisques</t>
  </si>
  <si>
    <t>URL Géorisques</t>
  </si>
  <si>
    <t>DOCUMENTS ADMINISTRATIFS ICPE</t>
  </si>
  <si>
    <t>ANNEE DE REFERENCE</t>
  </si>
  <si>
    <t>ANNEE DE REFERENCE CONSO ELEC EN KWH</t>
  </si>
  <si>
    <t>ANNEE DE REFERENCE CONSO GAZ EN KWH</t>
  </si>
  <si>
    <t>2020 CONSO ELEC EN KWH</t>
  </si>
  <si>
    <t>2020 CONSO ELEC PAR M²</t>
  </si>
  <si>
    <t>2020 CONSO GAZ EN KWH</t>
  </si>
  <si>
    <t>2020 CONSO GAZ PAR M²</t>
  </si>
  <si>
    <t>2021 CONSO ELEC EN KWH</t>
  </si>
  <si>
    <t>2021 CONSO ELEC PAR M²</t>
  </si>
  <si>
    <t>2021 CONSO GAZ EN KWH</t>
  </si>
  <si>
    <t>2021 CONSO GAZ PAR M²</t>
  </si>
  <si>
    <t>Refacturation Gestion Technique Oui/Non</t>
  </si>
  <si>
    <t>Détail si refacturation gestion technique</t>
  </si>
  <si>
    <t>2022 CONSO ELEC EN KWH</t>
  </si>
  <si>
    <t>2022 CONSO ELEC PAR M²</t>
  </si>
  <si>
    <t>2022 CONSO GAZ EN KWH</t>
  </si>
  <si>
    <t>2022 CONSO GAZ PAR M²</t>
  </si>
  <si>
    <t>2022 EAU</t>
  </si>
  <si>
    <t>2022 EAU/M²</t>
  </si>
  <si>
    <t>2023 CONSO ELEC EN KWH</t>
  </si>
  <si>
    <t>2023 CONSO ELEC PAR M²</t>
  </si>
  <si>
    <t>2023 CONSO GAZ EN KWH</t>
  </si>
  <si>
    <t>2023 CONSO GAZ PAR M²</t>
  </si>
  <si>
    <t>2023 EAU</t>
  </si>
  <si>
    <t>2023 EAU/M²</t>
  </si>
  <si>
    <t>CERTIFICATS OPERAT</t>
  </si>
  <si>
    <t>CHARGES 2021</t>
  </si>
  <si>
    <t>CHARGES / M² 2021</t>
  </si>
  <si>
    <t>CHARGES 2022</t>
  </si>
  <si>
    <t>CHARGES / M² 2022</t>
  </si>
  <si>
    <t>CHARGES 2023</t>
  </si>
  <si>
    <t>CHARGES/M² 2023</t>
  </si>
  <si>
    <t>PROVISIONS CHARGES 2024</t>
  </si>
  <si>
    <t>CHARGES 2024</t>
  </si>
  <si>
    <t>CHARGES/M² 2024</t>
  </si>
  <si>
    <t>CHARGES 2026</t>
  </si>
  <si>
    <t>CHARGES 2026 /M²</t>
  </si>
  <si>
    <t>ASSURANCES 2026</t>
  </si>
  <si>
    <t>EVOLUTION PROVISIONS N-1</t>
  </si>
  <si>
    <t>ASSURANCES 2021</t>
  </si>
  <si>
    <t>ASSURANCES / M² 2021</t>
  </si>
  <si>
    <t>ASSURANCES 2022</t>
  </si>
  <si>
    <t>ASSURANCES / M² 2022</t>
  </si>
  <si>
    <t>ASSURANCES 2023</t>
  </si>
  <si>
    <t>ASSURANCES/M² 2023</t>
  </si>
  <si>
    <t>ASSURANCES 2024</t>
  </si>
  <si>
    <t>ASSURANCES/m² 2024</t>
  </si>
  <si>
    <t>EVOLUTION ASSURANCES N-1</t>
  </si>
  <si>
    <t>TF 2021</t>
  </si>
  <si>
    <t>TF / M² 2021</t>
  </si>
  <si>
    <t>TF 2022</t>
  </si>
  <si>
    <t>TF / M² 2022</t>
  </si>
  <si>
    <t>TF 2023</t>
  </si>
  <si>
    <t>TF/M² 2023</t>
  </si>
  <si>
    <t>EVOLUTION TF N-1</t>
  </si>
  <si>
    <t>TF 2024</t>
  </si>
  <si>
    <t>TF/M² 2024</t>
  </si>
  <si>
    <t>EVOLUTION TF 24 N-1</t>
  </si>
  <si>
    <t>TAXES 2026</t>
  </si>
  <si>
    <t>TAXE BUREAU IDF 2021</t>
  </si>
  <si>
    <t>TAXE BUREAU IDF / M² 2021</t>
  </si>
  <si>
    <t>TAXE BUREAU IDF 2022</t>
  </si>
  <si>
    <t>TAXE BUREAU IDF / M² 2022</t>
  </si>
  <si>
    <t>TAXE BUREAU 2023</t>
  </si>
  <si>
    <t>TAXE BUREAU /M² 2023</t>
  </si>
  <si>
    <t>TAXE BUREAU 2024</t>
  </si>
  <si>
    <t>TAXE BUREAU /M² 2024</t>
  </si>
  <si>
    <t>EVOLUTION TAXE BUREAU N-1</t>
  </si>
  <si>
    <t>TAXE PARKING 2024</t>
  </si>
  <si>
    <t>PRISE D'EFFET DU CONTRAT DE PRESTATION</t>
  </si>
  <si>
    <t>CLAUSE IMMOBILIERE =&gt; CONTRAT DE PRESTATION (Oui/Non)</t>
  </si>
  <si>
    <t>DUREE DU CONTRAT DE PRESTATION</t>
  </si>
  <si>
    <t>DATE DE FIN DE CONTRAT DE PRESTATION</t>
  </si>
  <si>
    <t>RECONDUCTION DU CONTRAT DE PRESTATION</t>
  </si>
  <si>
    <t>PREAVIS DU CONTRAT DE PRESTATION</t>
  </si>
  <si>
    <t>ANTERIORIETE</t>
  </si>
  <si>
    <t>DATE DE 1ERE RESILIATION</t>
  </si>
  <si>
    <t>ETP MOYEN</t>
  </si>
  <si>
    <t>CA MARCHANDISE</t>
  </si>
  <si>
    <t>NOMBRE DE COLIS ANNUEL</t>
  </si>
  <si>
    <t>QUALITE BATIMENT</t>
  </si>
  <si>
    <t>DATE DE CONSTRUCTION</t>
  </si>
  <si>
    <t>DATE DE REHABILITATION</t>
  </si>
  <si>
    <t>DATE D'EXTENSION</t>
  </si>
  <si>
    <t>ENTREPOTS (TOTAL BAIL)</t>
  </si>
  <si>
    <t>TERRAIN</t>
  </si>
  <si>
    <t xml:space="preserve">SURFACE ENTREPOT
TOTAL</t>
  </si>
  <si>
    <t>ENTREPOT A TEMPERATURE CONTROLE</t>
  </si>
  <si>
    <t>ENTREPOT SEC</t>
  </si>
  <si>
    <t>EMBALLAGE</t>
  </si>
  <si>
    <t>LOCAL DE CHARGES</t>
  </si>
  <si>
    <t>LOCAUX TECHNIQUES</t>
  </si>
  <si>
    <t>BLS</t>
  </si>
  <si>
    <t>POSTE DE GARDE</t>
  </si>
  <si>
    <t>HAUTEUR (M)</t>
  </si>
  <si>
    <t>NOMBRE DE PLACE VL</t>
  </si>
  <si>
    <t>NOMBRE DE PLACE PL</t>
  </si>
  <si>
    <t>NOMBRE DE QUAIS</t>
  </si>
  <si>
    <t>ENTREPOTS TOTAL (RELEVE DE GEOMETRE)</t>
  </si>
  <si>
    <t>BASSIN DE RETENTION</t>
  </si>
  <si>
    <t>CAPACITE D'EXTENTION</t>
  </si>
  <si>
    <t>NOMBRE CELLULES</t>
  </si>
  <si>
    <t>SPECIFICITES TECHNIQUES</t>
  </si>
  <si>
    <t>CERTIFICATION</t>
  </si>
  <si>
    <t>BORNES</t>
  </si>
  <si>
    <t>PHOTOVOLTAIQUE</t>
  </si>
  <si>
    <t>Date modif</t>
  </si>
  <si>
    <t>TAXE BUREAU 2022</t>
  </si>
  <si>
    <t>COMMENTAIRE INTERNE</t>
  </si>
  <si>
    <t>SMP-001</t>
  </si>
  <si>
    <t>BL-SMP-001</t>
  </si>
  <si>
    <t>QS-SMP-001</t>
  </si>
  <si>
    <t>al 0101</t>
  </si>
  <si>
    <t>Entrepôt Fictif Lyon-Est</t>
  </si>
  <si>
    <t>Portefeuille Fictif Nord</t>
  </si>
  <si>
    <t>BU Fictive Supply</t>
  </si>
  <si>
    <t>Bassin Fictif Auvergne-Rhône-Alpes</t>
  </si>
  <si>
    <t>France</t>
  </si>
  <si>
    <t>Camille Fictif</t>
  </si>
  <si>
    <t>Dominique Fictif</t>
  </si>
  <si>
    <t>ram 901</t>
  </si>
  <si>
    <t>SCI Fictive Logistique</t>
  </si>
  <si>
    <t>Locataire</t>
  </si>
  <si>
    <t>Foncière Fictive</t>
  </si>
  <si>
    <t>SCI Fictive Actif</t>
  </si>
  <si>
    <t>Gestionnaire Fictif</t>
  </si>
  <si>
    <t>En exploitation</t>
  </si>
  <si>
    <t>Oui</t>
  </si>
  <si>
    <t>Prestataire</t>
  </si>
  <si>
    <t>Logisticien Fictif</t>
  </si>
  <si>
    <t>11 rue de l'Exemple, 69800 Saint-Priest</t>
  </si>
  <si>
    <t>69</t>
  </si>
  <si>
    <t>Auvergne-Rhône-Alpes</t>
  </si>
  <si>
    <t>Hypermarchés</t>
  </si>
  <si>
    <t>Multi-température</t>
  </si>
  <si>
    <t>Préparation de commandes magasins</t>
  </si>
  <si>
    <t>Magasins fictifs de la région</t>
  </si>
  <si>
    <t>Bail signé (PDF)</t>
  </si>
  <si>
    <t>\\srv-fictif\plans\SMP-001\</t>
  </si>
  <si>
    <t>Dossier SMP-001</t>
  </si>
  <si>
    <t>Bail commercial 3/6/9 (fictif)</t>
  </si>
  <si>
    <t>3 mois</t>
  </si>
  <si>
    <t>6 mois</t>
  </si>
  <si>
    <t>Aucune négociation en cours</t>
  </si>
  <si>
    <t>Non</t>
  </si>
  <si>
    <t>ILAT annuel</t>
  </si>
  <si>
    <t>Triennale</t>
  </si>
  <si>
    <t>Exploitant Fictif</t>
  </si>
  <si>
    <t>1510-E, 2925-D ; 4331 (A)</t>
  </si>
  <si>
    <t>https://georisques.example/installation/0000001</t>
  </si>
  <si>
    <t>Fiche Géorisques</t>
  </si>
  <si>
    <t>5 ans</t>
  </si>
  <si>
    <t>Tacite, 1 an</t>
  </si>
  <si>
    <t>Depuis 2019</t>
  </si>
  <si>
    <t>A</t>
  </si>
  <si>
    <t>2016</t>
  </si>
  <si>
    <t>2010 ; 03/2019</t>
  </si>
  <si>
    <t>Oui, 800 m³</t>
  </si>
  <si>
    <t>Sprinklage ESFR</t>
  </si>
  <si>
    <t>4 bornes</t>
  </si>
  <si>
    <t>Colonne inconnue de l'import</t>
  </si>
  <si>
    <t>SMP-002</t>
  </si>
  <si>
    <t>BL-SMP-002</t>
  </si>
  <si>
    <t>QS-SMP-002</t>
  </si>
  <si>
    <t>al 0102</t>
  </si>
  <si>
    <t>Entrepôt Fictif Lille-Sud</t>
  </si>
  <si>
    <t>Portefeuille Fictif Sud</t>
  </si>
  <si>
    <t>Bassin Fictif Hauts-de-France</t>
  </si>
  <si>
    <t>ram 902</t>
  </si>
  <si>
    <t>12 rue de l'Exemple, 59810 Lesquin</t>
  </si>
  <si>
    <t>59</t>
  </si>
  <si>
    <t>Hauts-de-France</t>
  </si>
  <si>
    <t>Proximité</t>
  </si>
  <si>
    <t>Sec</t>
  </si>
  <si>
    <t>\\srv-fictif\baux\SMP-002\bail.pdf</t>
  </si>
  <si>
    <t>\\srv-fictif\plans\SMP-002\</t>
  </si>
  <si>
    <t>Dossier SMP-002</t>
  </si>
  <si>
    <t>1 773 613,00 €</t>
  </si>
  <si>
    <t>120 000 €</t>
  </si>
  <si>
    <t>2 787 532 kWh</t>
  </si>
  <si>
    <t>B</t>
  </si>
  <si>
    <t>32 150 m²</t>
  </si>
  <si>
    <t>SMP-003</t>
  </si>
  <si>
    <t>NC</t>
  </si>
  <si>
    <t>QS-SMP-003</t>
  </si>
  <si>
    <t>al 0103</t>
  </si>
  <si>
    <t>Entrepôt Fictif Vitrolles</t>
  </si>
  <si>
    <t>Bassin Fictif Provence-Alpes-Côte d'Azur</t>
  </si>
  <si>
    <t>ram 903</t>
  </si>
  <si>
    <t>Intégré</t>
  </si>
  <si>
    <t>13 rue de l'Exemple, 13127 Vitrolles</t>
  </si>
  <si>
    <t>13</t>
  </si>
  <si>
    <t>Provence-Alpes-Côte d'Azur</t>
  </si>
  <si>
    <t>néant</t>
  </si>
  <si>
    <t>\\srv-fictif\plans\SMP-003\</t>
  </si>
  <si>
    <t>Dossier SMP-003</t>
  </si>
  <si>
    <t>en cours</t>
  </si>
  <si>
    <t>à venir</t>
  </si>
  <si>
    <t>?</t>
  </si>
  <si>
    <t>-</t>
  </si>
  <si>
    <t>N/A</t>
  </si>
  <si>
    <t>SMP-004</t>
  </si>
  <si>
    <t>BL-SMP-004</t>
  </si>
  <si>
    <t>QS-SMP-004</t>
  </si>
  <si>
    <t>al 0104</t>
  </si>
  <si>
    <t>Entrepôt Fictif Cestas</t>
  </si>
  <si>
    <t>Bassin Fictif Nouvelle-Aquitaine</t>
  </si>
  <si>
    <t>ram 904</t>
  </si>
  <si>
    <t>14 rue de l'Exemple, 33610 Cestas</t>
  </si>
  <si>
    <t>33</t>
  </si>
  <si>
    <t>Nouvelle-Aquitaine</t>
  </si>
  <si>
    <t>\\srv-fictif\plans\SMP-004\</t>
  </si>
  <si>
    <t>Dossier SMP-004</t>
  </si>
  <si>
    <t>2004</t>
  </si>
  <si>
    <t>12/03/2015</t>
  </si>
  <si>
    <t>mars 2021</t>
  </si>
  <si>
    <t>31.12.2033</t>
  </si>
  <si>
    <t>janv. 2020</t>
  </si>
  <si>
    <t>15/06/27</t>
  </si>
  <si>
    <t>1998 ; 2004</t>
  </si>
  <si>
    <t>12/2016</t>
  </si>
  <si>
    <t>SMP-005</t>
  </si>
  <si>
    <t>BL-SMP-005</t>
  </si>
  <si>
    <t>QS-SMP-005</t>
  </si>
  <si>
    <t>al 0105</t>
  </si>
  <si>
    <t>Entrepôt Fictif Rennes-Nord</t>
  </si>
  <si>
    <t>Bassin Fictif Bretagne</t>
  </si>
  <si>
    <t>ram 905</t>
  </si>
  <si>
    <t>Fermé</t>
  </si>
  <si>
    <t>15 rue de l'Exemple, 35520 La Mézière</t>
  </si>
  <si>
    <t>35</t>
  </si>
  <si>
    <t>Bretagne</t>
  </si>
  <si>
    <t>\\srv-fictif\plans\SMP-005\</t>
  </si>
  <si>
    <t>Dossier SMP-005</t>
  </si>
  <si>
    <t>six mois</t>
  </si>
  <si>
    <t>SMP-006</t>
  </si>
  <si>
    <t>BL-SMP-006</t>
  </si>
  <si>
    <t>QS-SMP-006</t>
  </si>
  <si>
    <t>al 0106</t>
  </si>
  <si>
    <t>Entrepôt Fictif Strasbourg</t>
  </si>
  <si>
    <t>Bassin Fictif Grand Est</t>
  </si>
  <si>
    <t>ram 906</t>
  </si>
  <si>
    <t>16 rue de l'Exemple, 67100 Strasbourg</t>
  </si>
  <si>
    <t>67</t>
  </si>
  <si>
    <t>Grand Est</t>
  </si>
  <si>
    <t>\\srv-fictif\plans\SMP-006\</t>
  </si>
  <si>
    <t>Dossier SMP-006</t>
  </si>
  <si>
    <t>SMP-007</t>
  </si>
  <si>
    <t>BL-SMP-007</t>
  </si>
  <si>
    <t>QS-SMP-007</t>
  </si>
  <si>
    <t>al 0107</t>
  </si>
  <si>
    <t>Entrepôt Fictif Toulouse-Sud</t>
  </si>
  <si>
    <t>Bassin Fictif Occitanie</t>
  </si>
  <si>
    <t>ram 907</t>
  </si>
  <si>
    <t>17 rue de l'Exemple, 31120 Portet-sur-Garonne</t>
  </si>
  <si>
    <t>31</t>
  </si>
  <si>
    <t>Occitanie</t>
  </si>
  <si>
    <t>\\srv-fictif\plans\SMP-007\</t>
  </si>
  <si>
    <t>Dossier SMP-007</t>
  </si>
  <si>
    <t>SMP-008</t>
  </si>
  <si>
    <t>BL-SMP-008</t>
  </si>
  <si>
    <t>QS-SMP-008</t>
  </si>
  <si>
    <t>al 0108</t>
  </si>
  <si>
    <t>Entrepôt Fictif Cergy</t>
  </si>
  <si>
    <t>Bassin Fictif Île-de-France</t>
  </si>
  <si>
    <t>ram 908</t>
  </si>
  <si>
    <t>18 rue de l'Exemple, 95310 Saint-Ouen-l'Aumône</t>
  </si>
  <si>
    <t>Val-d'Oise</t>
  </si>
  <si>
    <t>Île-de-France</t>
  </si>
  <si>
    <t>\\srv-fictif\plans\SMP-008\</t>
  </si>
  <si>
    <t>Dossier SMP-008</t>
  </si>
  <si>
    <t>SMP-009</t>
  </si>
  <si>
    <t>BL-SMP-009</t>
  </si>
  <si>
    <t>QS-SMP-009</t>
  </si>
  <si>
    <t>al 0109</t>
  </si>
  <si>
    <t>Entrepôt Fictif Grenoble</t>
  </si>
  <si>
    <t>Bassin Fictif Rhône-Alpes</t>
  </si>
  <si>
    <t>ram 909</t>
  </si>
  <si>
    <t>19 rue de l'Exemple, 38430 Moirans</t>
  </si>
  <si>
    <t>38 - Isère</t>
  </si>
  <si>
    <t>Rhône-Alpes</t>
  </si>
  <si>
    <t>\\srv-fictif\plans\SMP-009\</t>
  </si>
  <si>
    <t>Dossier SMP-009</t>
  </si>
  <si>
    <t>SMP-010</t>
  </si>
  <si>
    <t>BL-SMP-010</t>
  </si>
  <si>
    <t>QS-SMP-010</t>
  </si>
  <si>
    <t>al 0110</t>
  </si>
  <si>
    <t/>
  </si>
  <si>
    <t>Bassin Fictif Bourgogne-Franche-Comté</t>
  </si>
  <si>
    <t>ram 910</t>
  </si>
  <si>
    <t>20 rue de l'Exemple, 21600 Dijon</t>
  </si>
  <si>
    <t>21</t>
  </si>
  <si>
    <t>Bourgogne-Franche-Comté</t>
  </si>
  <si>
    <t>\\srv-fictif\plans\SMP-010\</t>
  </si>
  <si>
    <t>Dossier SMP-010</t>
  </si>
  <si>
    <t>SMP-011</t>
  </si>
  <si>
    <t>BL-SMP-011</t>
  </si>
  <si>
    <t>QS-SMP-011 ; QS-SMP-011B / QS-SMP-011C</t>
  </si>
  <si>
    <t>al 0111</t>
  </si>
  <si>
    <t>Entrepôt Fictif Nantes</t>
  </si>
  <si>
    <t>Bassin Fictif Pays de la Loire</t>
  </si>
  <si>
    <t>ram 911</t>
  </si>
  <si>
    <t>21 rue de l'Exemple, 44470 Carquefou</t>
  </si>
  <si>
    <t>44</t>
  </si>
  <si>
    <t>Pays de la Loire</t>
  </si>
  <si>
    <t>\\srv-fictif\plans\SMP-011\</t>
  </si>
  <si>
    <t>Dossier SMP-011</t>
  </si>
  <si>
    <t>1 an</t>
  </si>
  <si>
    <t>SMP-012</t>
  </si>
  <si>
    <t>BL-SMP-012</t>
  </si>
  <si>
    <t>QS-SMP-012</t>
  </si>
  <si>
    <t>al 0112</t>
  </si>
  <si>
    <t>Entrepôt Fictif Rungis</t>
  </si>
  <si>
    <t>Bassin Fictif IDF</t>
  </si>
  <si>
    <t>ram 912</t>
  </si>
  <si>
    <t>22 rue de l'Exemple, 94150 Rungis</t>
  </si>
  <si>
    <t>94</t>
  </si>
  <si>
    <t>IDF</t>
  </si>
  <si>
    <t>\\srv-fictif\plans\SMP-012\</t>
  </si>
  <si>
    <t>Dossier SMP-012</t>
  </si>
  <si>
    <t>Doublon de SMP-003</t>
  </si>
  <si>
    <t>SMP-013</t>
  </si>
  <si>
    <t>BL-SMP-013</t>
  </si>
  <si>
    <t>QS-SMP-013</t>
  </si>
  <si>
    <t>al 0113</t>
  </si>
  <si>
    <t>Entrepôt Fictif Orléans</t>
  </si>
  <si>
    <t>Bassin Fictif Centre-Val de Loire</t>
  </si>
  <si>
    <t>ram 913</t>
  </si>
  <si>
    <t>23 rue de l'Exemple, 45770 Saran</t>
  </si>
  <si>
    <t>45</t>
  </si>
  <si>
    <t>Centre-Val de Loire</t>
  </si>
  <si>
    <t>\\srv-fictif\plans\SMP-013\</t>
  </si>
  <si>
    <t>Dossier SMP-013</t>
  </si>
  <si>
    <t>3 ans ferme</t>
  </si>
  <si>
    <t>SMP-014</t>
  </si>
  <si>
    <t>BL-SMP-014</t>
  </si>
  <si>
    <t>QS-SMP-014</t>
  </si>
  <si>
    <t>al 0114</t>
  </si>
  <si>
    <t>Entrepôt Fictif Metz</t>
  </si>
  <si>
    <t>ram 914</t>
  </si>
  <si>
    <t>Fermé définitivement</t>
  </si>
  <si>
    <t>24 rue de l'Exemple, 57365 Ennery</t>
  </si>
  <si>
    <t>57</t>
  </si>
  <si>
    <t>\\srv-fictif\plans\SMP-014\</t>
  </si>
  <si>
    <t>Dossier SMP-014</t>
  </si>
  <si>
    <t>SMP-015</t>
  </si>
  <si>
    <t>BL-SMP-015</t>
  </si>
  <si>
    <t>QS-SMP-015</t>
  </si>
  <si>
    <t>al 0115</t>
  </si>
  <si>
    <t>Entrepôt Fictif Rouen</t>
  </si>
  <si>
    <t>Bassin Fictif Normandie</t>
  </si>
  <si>
    <t>ram 915</t>
  </si>
  <si>
    <t>Vacant</t>
  </si>
  <si>
    <t>25 rue de l'Exemple, 76530 Grand-Couronne</t>
  </si>
  <si>
    <t>76</t>
  </si>
  <si>
    <t>Normandie</t>
  </si>
  <si>
    <t>\\srv-fictif\plans\SMP-015\</t>
  </si>
  <si>
    <t>Dossier</t>
  </si>
  <si>
    <t>SMP-016</t>
  </si>
  <si>
    <t>BL-SMP-016</t>
  </si>
  <si>
    <t>QS-SMP-016</t>
  </si>
  <si>
    <t>al 0116</t>
  </si>
  <si>
    <t>Entrepôt Fictif Clermont</t>
  </si>
  <si>
    <t>ram 916</t>
  </si>
  <si>
    <t>26 rue de l'Exemple, 63510 Aulnat</t>
  </si>
  <si>
    <t>63</t>
  </si>
  <si>
    <t>\\srv-fictif\plans\SMP-016\</t>
  </si>
  <si>
    <t>Dossier SMP-016</t>
  </si>
  <si>
    <t>SMP-017</t>
  </si>
  <si>
    <t>BL-SMP-017</t>
  </si>
  <si>
    <t>QS-SMP-017</t>
  </si>
  <si>
    <t>al 0117</t>
  </si>
  <si>
    <t>Entrepôt Fictif Montpellier</t>
  </si>
  <si>
    <t>ram 917</t>
  </si>
  <si>
    <t>27 rue de l'Exemple, 34740 Vendargues</t>
  </si>
  <si>
    <t>34</t>
  </si>
  <si>
    <t>\\srv-fictif\plans\SMP-017\</t>
  </si>
  <si>
    <t>Dossier SMP-017</t>
  </si>
  <si>
    <t>à chaque échéance triennale</t>
  </si>
  <si>
    <t>al 0118</t>
  </si>
  <si>
    <t>Entrepôt Fictif Sans Code</t>
  </si>
  <si>
    <t>ram 918</t>
  </si>
  <si>
    <t>28 rue de l'Exemple, 51100 Reims</t>
  </si>
  <si>
    <t>51</t>
  </si>
  <si>
    <t>\\srv-fictif\plans\x\</t>
  </si>
  <si>
    <t>Dossier x</t>
  </si>
  <si>
    <t>SMP-019</t>
  </si>
  <si>
    <t>BL-SMP-019</t>
  </si>
  <si>
    <t>QS-SMP-019</t>
  </si>
  <si>
    <t>Entrepôt Fictif Ajaccio</t>
  </si>
  <si>
    <t>ram 919</t>
  </si>
  <si>
    <t>29 rue de l'Exemple, 20090 Ajaccio</t>
  </si>
  <si>
    <t>2a</t>
  </si>
  <si>
    <t>\\srv-fictif\plans\SMP-019\</t>
  </si>
  <si>
    <t>Dossier SMP-019</t>
  </si>
  <si>
    <t>SMP-020</t>
  </si>
  <si>
    <t>BL-SMP-020</t>
  </si>
  <si>
    <t>QS-SMP-020</t>
  </si>
  <si>
    <t>al 0120</t>
  </si>
  <si>
    <t>Entrepôt Fictif Tours</t>
  </si>
  <si>
    <t>ram 920</t>
  </si>
  <si>
    <t>30 rue de l'Exemple, 37100 Tours</t>
  </si>
  <si>
    <t>Indre et Loire</t>
  </si>
  <si>
    <t>\\srv-fictif\plans\SMP-020\</t>
  </si>
  <si>
    <t>Dossier SMP-020</t>
  </si>
  <si>
    <t>SMP-021</t>
  </si>
  <si>
    <t>BL-SMP-021</t>
  </si>
  <si>
    <t>QS-SMP-021</t>
  </si>
  <si>
    <t>al 0121</t>
  </si>
  <si>
    <t>Entrepôt Fictif Amiens</t>
  </si>
  <si>
    <t>Bassin Fictif Picardie</t>
  </si>
  <si>
    <t>ram 921</t>
  </si>
  <si>
    <t>31 rue de l'Exemple, 80000 Amiens</t>
  </si>
  <si>
    <t>80</t>
  </si>
  <si>
    <t>Picardie</t>
  </si>
  <si>
    <t>\\srv-fictif\plans\SMP-021\</t>
  </si>
  <si>
    <t>Dossier SMP-021</t>
  </si>
  <si>
    <t>peut-être</t>
  </si>
  <si>
    <t>Rubriques 1510 et 2925 (à confirmer)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</si>
</sst>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ed-fictive.example/baux/SMP-001.pdf" TargetMode="External"/><Relationship Id="rId2" Type="http://schemas.openxmlformats.org/officeDocument/2006/relationships/hyperlink" Target="https://georisques.example/installation/0000001" TargetMode="External"/><Relationship Id="rId3" Type="http://schemas.openxmlformats.org/officeDocument/2006/relationships/hyperlink" Target="https://ged-fictive.example/admin/SMP-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26"/>
  <sheetFormatPr defaultRowHeight="15" outlineLevelRow="0" outlineLevelCol="0" x14ac:dyDescent="55"/>
  <cols>
    <col min="1" max="185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</v>
      </c>
      <c r="B2"/>
      <c r="C2"/>
      <c r="D2"/>
      <c r="E2"/>
      <c r="F2"/>
      <c r="G2"/>
      <c r="H2"/>
    </row>
    <row r="3" ht="32" customHeight="1" spans="1:18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2" t="s">
        <v>66</v>
      </c>
      <c r="BN3" s="2" t="s">
        <v>67</v>
      </c>
      <c r="BO3" s="2" t="s">
        <v>68</v>
      </c>
      <c r="BP3" s="2" t="s">
        <v>69</v>
      </c>
      <c r="BQ3" s="2" t="s">
        <v>70</v>
      </c>
      <c r="BR3" s="2" t="s">
        <v>71</v>
      </c>
      <c r="BS3" s="2" t="s">
        <v>72</v>
      </c>
      <c r="BT3" s="2" t="s">
        <v>73</v>
      </c>
      <c r="BU3" s="2" t="s">
        <v>74</v>
      </c>
      <c r="BV3" s="2" t="s">
        <v>75</v>
      </c>
      <c r="BW3" s="2" t="s">
        <v>76</v>
      </c>
      <c r="BX3" s="2" t="s">
        <v>77</v>
      </c>
      <c r="BY3" s="2" t="s">
        <v>78</v>
      </c>
      <c r="BZ3" s="2" t="s">
        <v>79</v>
      </c>
      <c r="CA3" s="2" t="s">
        <v>80</v>
      </c>
      <c r="CB3" s="2" t="s">
        <v>81</v>
      </c>
      <c r="CC3" s="2" t="s">
        <v>82</v>
      </c>
      <c r="CD3" s="2" t="s">
        <v>83</v>
      </c>
      <c r="CE3" s="2" t="s">
        <v>84</v>
      </c>
      <c r="CF3" s="2" t="s">
        <v>85</v>
      </c>
      <c r="CG3" s="2" t="s">
        <v>86</v>
      </c>
      <c r="CH3" s="2" t="s">
        <v>87</v>
      </c>
      <c r="CI3" s="2" t="s">
        <v>88</v>
      </c>
      <c r="CJ3" s="2" t="s">
        <v>89</v>
      </c>
      <c r="CK3" s="2" t="s">
        <v>90</v>
      </c>
      <c r="CL3" s="2" t="s">
        <v>91</v>
      </c>
      <c r="CM3" s="2" t="s">
        <v>92</v>
      </c>
      <c r="CN3" s="2" t="s">
        <v>93</v>
      </c>
      <c r="CO3" s="2" t="s">
        <v>94</v>
      </c>
      <c r="CP3" s="2" t="s">
        <v>95</v>
      </c>
      <c r="CQ3" s="2" t="s">
        <v>96</v>
      </c>
      <c r="CR3" s="2" t="s">
        <v>97</v>
      </c>
      <c r="CS3" s="2" t="s">
        <v>98</v>
      </c>
      <c r="CT3" s="2" t="s">
        <v>99</v>
      </c>
      <c r="CU3" s="2" t="s">
        <v>100</v>
      </c>
      <c r="CV3" s="2" t="s">
        <v>101</v>
      </c>
      <c r="CW3" s="2" t="s">
        <v>102</v>
      </c>
      <c r="CX3" s="2" t="s">
        <v>103</v>
      </c>
      <c r="CY3" s="2" t="s">
        <v>104</v>
      </c>
      <c r="CZ3" s="2" t="s">
        <v>105</v>
      </c>
      <c r="DA3" s="2" t="s">
        <v>106</v>
      </c>
      <c r="DB3" s="2" t="s">
        <v>107</v>
      </c>
      <c r="DC3" s="2" t="s">
        <v>108</v>
      </c>
      <c r="DD3" s="2" t="s">
        <v>109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159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</row>
    <row r="4" spans="1:185" x14ac:dyDescent="0.25">
      <c r="A4" t="s">
        <v>187</v>
      </c>
      <c r="B4" t="s">
        <v>188</v>
      </c>
      <c r="C4" t="s">
        <v>189</v>
      </c>
      <c r="D4" t="s">
        <v>190</v>
      </c>
      <c r="E4">
        <v>1</v>
      </c>
      <c r="F4" t="s">
        <v>191</v>
      </c>
      <c r="G4" t="s">
        <v>192</v>
      </c>
      <c r="H4" t="s">
        <v>193</v>
      </c>
      <c r="I4" t="s">
        <v>194</v>
      </c>
      <c r="J4" t="s">
        <v>195</v>
      </c>
      <c r="K4" t="s">
        <v>196</v>
      </c>
      <c r="L4" t="s">
        <v>197</v>
      </c>
      <c r="M4" t="s">
        <v>198</v>
      </c>
      <c r="N4" t="s">
        <v>199</v>
      </c>
      <c r="O4" t="s">
        <v>200</v>
      </c>
      <c r="P4" t="s">
        <v>201</v>
      </c>
      <c r="Q4" t="s">
        <v>202</v>
      </c>
      <c r="R4" t="s">
        <v>203</v>
      </c>
      <c r="S4" t="s">
        <v>204</v>
      </c>
      <c r="T4" t="s">
        <v>205</v>
      </c>
      <c r="U4" t="s">
        <v>206</v>
      </c>
      <c r="V4" t="s">
        <v>207</v>
      </c>
      <c r="W4" t="s">
        <v>208</v>
      </c>
      <c r="X4" t="s">
        <v>209</v>
      </c>
      <c r="Y4" t="s">
        <v>210</v>
      </c>
      <c r="Z4">
        <v>45.7106</v>
      </c>
      <c r="AA4">
        <v>4.9486</v>
      </c>
      <c r="AB4" t="s">
        <v>211</v>
      </c>
      <c r="AC4" t="s">
        <v>212</v>
      </c>
      <c r="AD4" t="s">
        <v>213</v>
      </c>
      <c r="AE4" t="s">
        <v>214</v>
      </c>
      <c r="AF4">
        <v>31</v>
      </c>
      <c r="AG4" t="s">
        <v>215</v>
      </c>
      <c r="AH4" t="s">
        <v>216</v>
      </c>
      <c r="AI4" t="s">
        <v>217</v>
      </c>
      <c r="AJ4" s="3">
        <v>36951</v>
      </c>
      <c r="AK4" s="3">
        <v>41640</v>
      </c>
      <c r="AL4" s="3">
        <v>44378</v>
      </c>
      <c r="AM4" t="s">
        <v>218</v>
      </c>
      <c r="AN4" t="s">
        <v>219</v>
      </c>
      <c r="AO4" s="3">
        <v>48213</v>
      </c>
      <c r="AP4" s="3">
        <v>47299</v>
      </c>
      <c r="AQ4" t="s">
        <v>220</v>
      </c>
      <c r="AR4" s="3">
        <v>47118</v>
      </c>
      <c r="AS4" s="3">
        <v>46934</v>
      </c>
      <c r="AT4" t="s">
        <v>221</v>
      </c>
      <c r="AV4" t="s">
        <v>222</v>
      </c>
      <c r="AW4">
        <v>2512640</v>
      </c>
      <c r="AX4">
        <v>2588019</v>
      </c>
      <c r="AY4">
        <v>53.56</v>
      </c>
      <c r="AZ4">
        <v>2665660</v>
      </c>
      <c r="BA4">
        <v>55.17</v>
      </c>
      <c r="BB4">
        <v>0.03</v>
      </c>
      <c r="BC4">
        <v>2745630</v>
      </c>
      <c r="BD4">
        <v>56.82</v>
      </c>
      <c r="BE4">
        <v>0.03</v>
      </c>
      <c r="BF4">
        <f>ROUND(BC4*1.03,0)</f>
        <v>2827999</v>
      </c>
      <c r="BG4">
        <v>58.53</v>
      </c>
      <c r="BH4">
        <v>0.03</v>
      </c>
      <c r="BI4">
        <v>2827998</v>
      </c>
      <c r="BJ4">
        <v>120000</v>
      </c>
      <c r="BK4">
        <v>3</v>
      </c>
      <c r="BM4">
        <v>48.5</v>
      </c>
      <c r="BN4">
        <v>52</v>
      </c>
      <c r="BO4" t="s">
        <v>223</v>
      </c>
      <c r="BP4" t="s">
        <v>224</v>
      </c>
      <c r="BQ4">
        <v>0.045</v>
      </c>
      <c r="BR4">
        <v>140</v>
      </c>
      <c r="BT4" t="s">
        <v>225</v>
      </c>
      <c r="BU4" t="s">
        <v>226</v>
      </c>
      <c r="BV4" t="s">
        <v>227</v>
      </c>
      <c r="BW4" t="s">
        <v>228</v>
      </c>
      <c r="BY4">
        <v>2020</v>
      </c>
      <c r="BZ4">
        <v>4590400</v>
      </c>
      <c r="CA4">
        <v>1932800</v>
      </c>
      <c r="CB4">
        <v>4590400</v>
      </c>
      <c r="CC4">
        <v>95</v>
      </c>
      <c r="CD4">
        <v>1932800</v>
      </c>
      <c r="CE4">
        <v>40</v>
      </c>
      <c r="CF4">
        <v>4452688</v>
      </c>
      <c r="CG4">
        <v>92.15</v>
      </c>
      <c r="CH4">
        <v>1836160</v>
      </c>
      <c r="CI4">
        <v>38</v>
      </c>
      <c r="CJ4" t="s">
        <v>222</v>
      </c>
      <c r="CL4">
        <v>4319107</v>
      </c>
      <c r="CM4">
        <v>89.39</v>
      </c>
      <c r="CN4">
        <v>1744352</v>
      </c>
      <c r="CO4">
        <v>36.1</v>
      </c>
      <c r="CP4">
        <v>5798</v>
      </c>
      <c r="CQ4">
        <v>0.12</v>
      </c>
      <c r="CR4">
        <v>4189534</v>
      </c>
      <c r="CS4">
        <v>86.7</v>
      </c>
      <c r="CT4">
        <v>1657134</v>
      </c>
      <c r="CU4">
        <v>34.29</v>
      </c>
      <c r="CV4">
        <v>5856</v>
      </c>
      <c r="CW4">
        <v>0.1212</v>
      </c>
      <c r="CY4">
        <v>434880</v>
      </c>
      <c r="CZ4">
        <v>9</v>
      </c>
      <c r="DA4">
        <v>452275</v>
      </c>
      <c r="DB4">
        <v>9.36</v>
      </c>
      <c r="DC4">
        <v>470366</v>
      </c>
      <c r="DD4">
        <v>9.73</v>
      </c>
      <c r="DE4">
        <v>513640</v>
      </c>
      <c r="DF4">
        <v>489181</v>
      </c>
      <c r="DG4">
        <v>10.12</v>
      </c>
      <c r="DH4">
        <v>529098</v>
      </c>
      <c r="DI4">
        <v>10.95</v>
      </c>
      <c r="DJ4">
        <v>111006</v>
      </c>
      <c r="DL4">
        <v>86976</v>
      </c>
      <c r="DM4">
        <v>1.8</v>
      </c>
      <c r="DN4">
        <v>91325</v>
      </c>
      <c r="DO4">
        <v>1.89</v>
      </c>
      <c r="DP4">
        <v>95891</v>
      </c>
      <c r="DQ4">
        <v>1.98</v>
      </c>
      <c r="DR4">
        <v>100686</v>
      </c>
      <c r="DS4">
        <v>2.08</v>
      </c>
      <c r="DT4">
        <v>0.05</v>
      </c>
      <c r="DU4">
        <v>289920</v>
      </c>
      <c r="DV4">
        <v>6</v>
      </c>
      <c r="DW4">
        <v>301517</v>
      </c>
      <c r="DX4">
        <v>6.24</v>
      </c>
      <c r="DY4">
        <v>313577</v>
      </c>
      <c r="DZ4">
        <v>6.49</v>
      </c>
      <c r="EA4">
        <v>0.04</v>
      </c>
      <c r="EB4">
        <v>326121</v>
      </c>
      <c r="EC4">
        <v>6.75</v>
      </c>
      <c r="ED4">
        <v>0.04</v>
      </c>
      <c r="EE4">
        <v>338240</v>
      </c>
      <c r="EP4" s="3">
        <v>43466</v>
      </c>
      <c r="EQ4" t="s">
        <v>205</v>
      </c>
      <c r="ER4" t="s">
        <v>229</v>
      </c>
      <c r="ES4" s="3">
        <v>47118</v>
      </c>
      <c r="ET4" t="s">
        <v>230</v>
      </c>
      <c r="EU4" t="s">
        <v>220</v>
      </c>
      <c r="EV4" t="s">
        <v>231</v>
      </c>
      <c r="EW4" s="3">
        <v>46752</v>
      </c>
      <c r="EX4">
        <v>268</v>
      </c>
      <c r="EY4">
        <v>202944000</v>
      </c>
      <c r="EZ4">
        <v>4590400</v>
      </c>
      <c r="FA4" t="s">
        <v>232</v>
      </c>
      <c r="FB4">
        <v>1996</v>
      </c>
      <c r="FC4" t="s">
        <v>233</v>
      </c>
      <c r="FD4" t="s">
        <v>234</v>
      </c>
      <c r="FE4">
        <v>50253</v>
      </c>
      <c r="FF4">
        <v>125632</v>
      </c>
      <c r="FG4">
        <v>48320</v>
      </c>
      <c r="FH4">
        <v>16912</v>
      </c>
      <c r="FI4">
        <v>26576</v>
      </c>
      <c r="FJ4">
        <v>1450</v>
      </c>
      <c r="FK4">
        <v>483</v>
      </c>
      <c r="FL4">
        <v>387</v>
      </c>
      <c r="FM4">
        <v>2174</v>
      </c>
      <c r="FN4">
        <v>25</v>
      </c>
      <c r="FO4">
        <v>12.5</v>
      </c>
      <c r="FP4">
        <v>193</v>
      </c>
      <c r="FQ4">
        <v>54</v>
      </c>
      <c r="FR4">
        <v>44</v>
      </c>
      <c r="FT4" t="s">
        <v>235</v>
      </c>
      <c r="FV4">
        <v>8</v>
      </c>
      <c r="FW4" t="s">
        <v>236</v>
      </c>
      <c r="FY4" t="s">
        <v>237</v>
      </c>
      <c r="FZ4" t="s">
        <v>222</v>
      </c>
      <c r="GA4" s="3">
        <v>46157</v>
      </c>
      <c r="GC4" t="s">
        <v>238</v>
      </c>
    </row>
    <row r="5" spans="1:185" x14ac:dyDescent="0.25">
      <c r="A5" t="s">
        <v>239</v>
      </c>
      <c r="B5" t="s">
        <v>240</v>
      </c>
      <c r="C5" t="s">
        <v>241</v>
      </c>
      <c r="D5" t="s">
        <v>242</v>
      </c>
      <c r="E5">
        <v>2</v>
      </c>
      <c r="F5" t="s">
        <v>243</v>
      </c>
      <c r="G5" t="s">
        <v>244</v>
      </c>
      <c r="H5" t="s">
        <v>193</v>
      </c>
      <c r="I5" t="s">
        <v>245</v>
      </c>
      <c r="J5" t="s">
        <v>195</v>
      </c>
      <c r="K5" t="s">
        <v>196</v>
      </c>
      <c r="L5" t="s">
        <v>197</v>
      </c>
      <c r="M5" t="s">
        <v>246</v>
      </c>
      <c r="N5" t="s">
        <v>199</v>
      </c>
      <c r="O5" t="s">
        <v>200</v>
      </c>
      <c r="P5" t="s">
        <v>201</v>
      </c>
      <c r="Q5" t="s">
        <v>202</v>
      </c>
      <c r="R5" t="s">
        <v>203</v>
      </c>
      <c r="S5" t="s">
        <v>204</v>
      </c>
      <c r="T5" t="s">
        <v>205</v>
      </c>
      <c r="U5" t="s">
        <v>206</v>
      </c>
      <c r="V5" t="s">
        <v>207</v>
      </c>
      <c r="W5" t="s">
        <v>247</v>
      </c>
      <c r="X5" t="s">
        <v>248</v>
      </c>
      <c r="Y5" t="s">
        <v>249</v>
      </c>
      <c r="Z5">
        <v>50.589</v>
      </c>
      <c r="AA5">
        <v>3.115</v>
      </c>
      <c r="AB5" t="s">
        <v>250</v>
      </c>
      <c r="AC5" t="s">
        <v>251</v>
      </c>
      <c r="AD5" t="s">
        <v>213</v>
      </c>
      <c r="AE5" t="s">
        <v>214</v>
      </c>
      <c r="AF5">
        <v>32</v>
      </c>
      <c r="AG5" t="s">
        <v>252</v>
      </c>
      <c r="AH5" t="s">
        <v>253</v>
      </c>
      <c r="AI5" t="s">
        <v>254</v>
      </c>
      <c r="AJ5" s="3">
        <v>37316</v>
      </c>
      <c r="AK5" s="3">
        <v>41640</v>
      </c>
      <c r="AL5" s="3">
        <v>44378</v>
      </c>
      <c r="AM5" t="s">
        <v>218</v>
      </c>
      <c r="AN5" t="s">
        <v>219</v>
      </c>
      <c r="AO5" s="3">
        <v>48213</v>
      </c>
      <c r="AP5" s="3">
        <v>47664</v>
      </c>
      <c r="AQ5" t="s">
        <v>220</v>
      </c>
      <c r="AR5" s="3">
        <v>47483</v>
      </c>
      <c r="AS5" s="3">
        <v>47299</v>
      </c>
      <c r="AT5" t="s">
        <v>221</v>
      </c>
      <c r="AV5" t="s">
        <v>222</v>
      </c>
      <c r="AW5">
        <v>1671800</v>
      </c>
      <c r="AX5">
        <v>1721954</v>
      </c>
      <c r="AY5">
        <v>53.56</v>
      </c>
      <c r="AZ5" t="s">
        <v>255</v>
      </c>
      <c r="BA5">
        <v>55.17</v>
      </c>
      <c r="BB5">
        <v>0.03</v>
      </c>
      <c r="BC5">
        <v>1826821</v>
      </c>
      <c r="BD5">
        <v>56.82</v>
      </c>
      <c r="BE5">
        <v>0.03</v>
      </c>
      <c r="BF5">
        <v>1881626</v>
      </c>
      <c r="BG5">
        <v>58.53</v>
      </c>
      <c r="BH5">
        <v>0.03</v>
      </c>
      <c r="BI5">
        <v>1881626</v>
      </c>
      <c r="BJ5" t="s">
        <v>256</v>
      </c>
      <c r="BK5">
        <v>3</v>
      </c>
      <c r="BM5">
        <v>48.5</v>
      </c>
      <c r="BN5">
        <v>52</v>
      </c>
      <c r="BO5" t="s">
        <v>223</v>
      </c>
      <c r="BP5" t="s">
        <v>224</v>
      </c>
      <c r="BQ5">
        <v>0.045</v>
      </c>
      <c r="BR5">
        <v>140</v>
      </c>
      <c r="BT5" t="s">
        <v>225</v>
      </c>
      <c r="BU5" t="s">
        <v>226</v>
      </c>
      <c r="BY5">
        <v>2020</v>
      </c>
      <c r="BZ5">
        <v>3054250</v>
      </c>
      <c r="CA5">
        <v>1286000</v>
      </c>
      <c r="CB5">
        <v>3054250</v>
      </c>
      <c r="CC5">
        <v>95</v>
      </c>
      <c r="CD5">
        <v>1286000</v>
      </c>
      <c r="CE5">
        <v>40</v>
      </c>
      <c r="CF5">
        <v>2962623</v>
      </c>
      <c r="CG5">
        <v>92.15</v>
      </c>
      <c r="CH5">
        <v>1221700</v>
      </c>
      <c r="CI5">
        <v>38</v>
      </c>
      <c r="CJ5" t="s">
        <v>222</v>
      </c>
      <c r="CL5">
        <v>2873744</v>
      </c>
      <c r="CM5">
        <v>89.39</v>
      </c>
      <c r="CN5">
        <v>1160615</v>
      </c>
      <c r="CO5">
        <v>36.1</v>
      </c>
      <c r="CP5">
        <v>3858</v>
      </c>
      <c r="CQ5">
        <v>0.12</v>
      </c>
      <c r="CR5" t="s">
        <v>257</v>
      </c>
      <c r="CS5">
        <v>86.7</v>
      </c>
      <c r="CT5">
        <v>1102584</v>
      </c>
      <c r="CU5">
        <v>34.29</v>
      </c>
      <c r="CV5">
        <v>3897</v>
      </c>
      <c r="CW5">
        <v>0.1212</v>
      </c>
      <c r="CY5">
        <v>289350</v>
      </c>
      <c r="CZ5">
        <v>9</v>
      </c>
      <c r="DA5">
        <v>300924</v>
      </c>
      <c r="DB5">
        <v>9.36</v>
      </c>
      <c r="DC5">
        <v>312961</v>
      </c>
      <c r="DD5">
        <v>9.73</v>
      </c>
      <c r="DE5">
        <v>341753</v>
      </c>
      <c r="DF5">
        <v>325479</v>
      </c>
      <c r="DG5">
        <v>10.12</v>
      </c>
      <c r="DH5">
        <v>352039</v>
      </c>
      <c r="DI5">
        <v>10.95</v>
      </c>
      <c r="DJ5">
        <v>73858</v>
      </c>
      <c r="DL5">
        <v>57870</v>
      </c>
      <c r="DM5">
        <v>1.8</v>
      </c>
      <c r="DN5">
        <v>60764</v>
      </c>
      <c r="DO5">
        <v>1.89</v>
      </c>
      <c r="DP5">
        <v>63802</v>
      </c>
      <c r="DQ5">
        <v>1.98</v>
      </c>
      <c r="DR5">
        <v>66992</v>
      </c>
      <c r="DS5">
        <v>2.08</v>
      </c>
      <c r="DT5">
        <v>0.05</v>
      </c>
      <c r="DU5">
        <v>192900</v>
      </c>
      <c r="DV5">
        <v>6</v>
      </c>
      <c r="DW5">
        <v>200616</v>
      </c>
      <c r="DX5">
        <v>6.24</v>
      </c>
      <c r="DY5">
        <v>208641</v>
      </c>
      <c r="DZ5">
        <v>6.49</v>
      </c>
      <c r="EA5">
        <v>0.04</v>
      </c>
      <c r="EB5">
        <v>216986</v>
      </c>
      <c r="EC5">
        <v>6.75</v>
      </c>
      <c r="ED5">
        <v>0.04</v>
      </c>
      <c r="EE5">
        <v>225050</v>
      </c>
      <c r="EP5" s="3">
        <v>43466</v>
      </c>
      <c r="EQ5" t="s">
        <v>205</v>
      </c>
      <c r="ER5" t="s">
        <v>229</v>
      </c>
      <c r="ES5" s="3">
        <v>47118</v>
      </c>
      <c r="ET5" t="s">
        <v>230</v>
      </c>
      <c r="EU5" t="s">
        <v>220</v>
      </c>
      <c r="EV5" t="s">
        <v>231</v>
      </c>
      <c r="EW5" s="3">
        <v>46752</v>
      </c>
      <c r="EX5">
        <v>179</v>
      </c>
      <c r="EY5">
        <v>135030000</v>
      </c>
      <c r="EZ5">
        <v>3054250</v>
      </c>
      <c r="FA5" t="s">
        <v>258</v>
      </c>
      <c r="FB5">
        <v>1997</v>
      </c>
      <c r="FE5">
        <v>33436</v>
      </c>
      <c r="FF5">
        <v>83590</v>
      </c>
      <c r="FG5" t="s">
        <v>259</v>
      </c>
      <c r="FH5">
        <v>11253</v>
      </c>
      <c r="FI5">
        <v>17683</v>
      </c>
      <c r="FJ5">
        <v>965</v>
      </c>
      <c r="FK5">
        <v>322</v>
      </c>
      <c r="FL5">
        <v>257</v>
      </c>
      <c r="FM5">
        <v>1447</v>
      </c>
      <c r="FN5">
        <v>25</v>
      </c>
      <c r="FO5">
        <v>12.5</v>
      </c>
      <c r="FP5">
        <v>129</v>
      </c>
      <c r="FQ5">
        <v>36</v>
      </c>
      <c r="FR5">
        <v>29</v>
      </c>
      <c r="FT5" t="s">
        <v>235</v>
      </c>
      <c r="FV5">
        <v>5</v>
      </c>
      <c r="FW5" t="s">
        <v>236</v>
      </c>
      <c r="FY5" t="s">
        <v>237</v>
      </c>
      <c r="FZ5" t="s">
        <v>222</v>
      </c>
      <c r="GA5" s="3">
        <v>46157</v>
      </c>
      <c r="GC5" t="s">
        <v>238</v>
      </c>
    </row>
    <row r="6" spans="1:185" x14ac:dyDescent="0.25">
      <c r="A6" t="s">
        <v>260</v>
      </c>
      <c r="B6" t="s">
        <v>261</v>
      </c>
      <c r="C6" t="s">
        <v>262</v>
      </c>
      <c r="D6" t="s">
        <v>263</v>
      </c>
      <c r="E6">
        <v>3</v>
      </c>
      <c r="F6" t="s">
        <v>264</v>
      </c>
      <c r="G6" t="s">
        <v>192</v>
      </c>
      <c r="H6" t="s">
        <v>193</v>
      </c>
      <c r="I6" t="s">
        <v>265</v>
      </c>
      <c r="J6" t="s">
        <v>195</v>
      </c>
      <c r="K6" t="s">
        <v>196</v>
      </c>
      <c r="L6" t="s">
        <v>197</v>
      </c>
      <c r="M6" t="s">
        <v>266</v>
      </c>
      <c r="N6" t="s">
        <v>199</v>
      </c>
      <c r="O6" t="s">
        <v>200</v>
      </c>
      <c r="P6" t="s">
        <v>201</v>
      </c>
      <c r="Q6" t="s">
        <v>202</v>
      </c>
      <c r="R6" t="s">
        <v>203</v>
      </c>
      <c r="S6" t="s">
        <v>204</v>
      </c>
      <c r="T6" t="s">
        <v>205</v>
      </c>
      <c r="U6" t="s">
        <v>267</v>
      </c>
      <c r="W6" t="s">
        <v>268</v>
      </c>
      <c r="X6" t="s">
        <v>269</v>
      </c>
      <c r="Y6" t="s">
        <v>270</v>
      </c>
      <c r="Z6">
        <v>43.445</v>
      </c>
      <c r="AA6">
        <v>5.248</v>
      </c>
      <c r="AB6" t="s">
        <v>211</v>
      </c>
      <c r="AC6" t="s">
        <v>212</v>
      </c>
      <c r="AD6" t="s">
        <v>213</v>
      </c>
      <c r="AE6" t="s">
        <v>214</v>
      </c>
      <c r="AF6">
        <v>33</v>
      </c>
      <c r="AG6" t="s">
        <v>271</v>
      </c>
      <c r="AH6" t="s">
        <v>272</v>
      </c>
      <c r="AI6" t="s">
        <v>273</v>
      </c>
      <c r="AJ6" s="3">
        <v>37681</v>
      </c>
      <c r="AK6" s="3">
        <v>41640</v>
      </c>
      <c r="AL6" s="3">
        <v>44378</v>
      </c>
      <c r="AM6" t="s">
        <v>218</v>
      </c>
      <c r="AN6" t="s">
        <v>219</v>
      </c>
      <c r="AO6" s="3">
        <v>48213</v>
      </c>
      <c r="AP6" s="3">
        <v>48029</v>
      </c>
      <c r="AQ6" t="s">
        <v>220</v>
      </c>
      <c r="AR6" t="s">
        <v>274</v>
      </c>
      <c r="AS6" s="3">
        <v>47664</v>
      </c>
      <c r="AT6" t="s">
        <v>275</v>
      </c>
      <c r="AV6" t="s">
        <v>222</v>
      </c>
      <c r="AW6">
        <v>1428960</v>
      </c>
      <c r="AX6">
        <v>1471829</v>
      </c>
      <c r="AY6">
        <v>53.56</v>
      </c>
      <c r="AZ6">
        <v>1515984</v>
      </c>
      <c r="BA6">
        <v>55.17</v>
      </c>
      <c r="BB6">
        <v>0.03</v>
      </c>
      <c r="BC6">
        <v>1561463</v>
      </c>
      <c r="BD6">
        <v>56.82</v>
      </c>
      <c r="BE6">
        <v>0.03</v>
      </c>
      <c r="BF6">
        <v>1608307</v>
      </c>
      <c r="BG6">
        <v>58.53</v>
      </c>
      <c r="BH6">
        <v>0.03</v>
      </c>
      <c r="BI6">
        <v>1608307</v>
      </c>
      <c r="BJ6">
        <v>120000</v>
      </c>
      <c r="BK6">
        <v>3</v>
      </c>
      <c r="BM6">
        <v>48.5</v>
      </c>
      <c r="BN6" t="s">
        <v>276</v>
      </c>
      <c r="BO6" t="s">
        <v>223</v>
      </c>
      <c r="BP6" t="s">
        <v>224</v>
      </c>
      <c r="BQ6">
        <v>0.045</v>
      </c>
      <c r="BR6">
        <v>140</v>
      </c>
      <c r="BT6" t="s">
        <v>277</v>
      </c>
      <c r="BU6" t="s">
        <v>226</v>
      </c>
      <c r="BY6">
        <v>2020</v>
      </c>
      <c r="BZ6">
        <v>2610600</v>
      </c>
      <c r="CA6">
        <v>1099200</v>
      </c>
      <c r="CB6">
        <v>2610600</v>
      </c>
      <c r="CC6">
        <v>95</v>
      </c>
      <c r="CD6">
        <v>1099200</v>
      </c>
      <c r="CE6">
        <v>40</v>
      </c>
      <c r="CF6">
        <v>2532282</v>
      </c>
      <c r="CG6">
        <v>92.15</v>
      </c>
      <c r="CH6">
        <v>1044240</v>
      </c>
      <c r="CI6">
        <v>38</v>
      </c>
      <c r="CJ6" t="s">
        <v>222</v>
      </c>
      <c r="CL6">
        <v>2456314</v>
      </c>
      <c r="CM6">
        <v>89.39</v>
      </c>
      <c r="CN6">
        <v>992028</v>
      </c>
      <c r="CO6">
        <v>36.1</v>
      </c>
      <c r="CP6">
        <v>3298</v>
      </c>
      <c r="CQ6">
        <v>0.12</v>
      </c>
      <c r="CR6">
        <v>2382624</v>
      </c>
      <c r="CS6">
        <v>86.7</v>
      </c>
      <c r="CT6">
        <v>942427</v>
      </c>
      <c r="CU6">
        <v>34.3</v>
      </c>
      <c r="CV6">
        <v>3331</v>
      </c>
      <c r="CW6">
        <v>0.1212</v>
      </c>
      <c r="CY6">
        <v>247320</v>
      </c>
      <c r="CZ6">
        <v>9</v>
      </c>
      <c r="DA6">
        <v>257213</v>
      </c>
      <c r="DB6">
        <v>9.36</v>
      </c>
      <c r="DC6">
        <v>267501</v>
      </c>
      <c r="DD6">
        <v>9.73</v>
      </c>
      <c r="DE6">
        <v>292111</v>
      </c>
      <c r="DF6">
        <v>278201</v>
      </c>
      <c r="DG6">
        <v>10.12</v>
      </c>
      <c r="DH6">
        <v>300903</v>
      </c>
      <c r="DI6">
        <v>10.95</v>
      </c>
      <c r="DJ6">
        <v>63130</v>
      </c>
      <c r="DL6">
        <v>49464</v>
      </c>
      <c r="DM6">
        <v>1.8</v>
      </c>
      <c r="DN6">
        <v>51937</v>
      </c>
      <c r="DO6">
        <v>1.89</v>
      </c>
      <c r="DP6">
        <v>54534</v>
      </c>
      <c r="DQ6">
        <v>1.98</v>
      </c>
      <c r="DR6">
        <v>57261</v>
      </c>
      <c r="DS6">
        <v>2.08</v>
      </c>
      <c r="DT6">
        <v>0.05</v>
      </c>
      <c r="DU6">
        <v>164880</v>
      </c>
      <c r="DV6">
        <v>6</v>
      </c>
      <c r="DW6">
        <v>171475</v>
      </c>
      <c r="DX6">
        <v>6.24</v>
      </c>
      <c r="DY6">
        <v>178334</v>
      </c>
      <c r="DZ6">
        <v>6.49</v>
      </c>
      <c r="EA6">
        <v>0.04</v>
      </c>
      <c r="EB6">
        <v>185468</v>
      </c>
      <c r="EC6">
        <v>6.75</v>
      </c>
      <c r="ED6">
        <v>0.04</v>
      </c>
      <c r="EE6">
        <v>192360</v>
      </c>
      <c r="EP6" s="3">
        <v>43466</v>
      </c>
      <c r="EQ6" t="s">
        <v>205</v>
      </c>
      <c r="ER6" t="s">
        <v>229</v>
      </c>
      <c r="ES6" s="3">
        <v>47118</v>
      </c>
      <c r="ET6" t="s">
        <v>230</v>
      </c>
      <c r="EU6" t="s">
        <v>220</v>
      </c>
      <c r="EV6" t="s">
        <v>231</v>
      </c>
      <c r="EW6" s="3">
        <v>46752</v>
      </c>
      <c r="EX6">
        <v>153</v>
      </c>
      <c r="EY6">
        <v>115416000</v>
      </c>
      <c r="EZ6">
        <v>2610600</v>
      </c>
      <c r="FA6" t="s">
        <v>232</v>
      </c>
      <c r="FB6">
        <v>1998</v>
      </c>
      <c r="FE6">
        <v>28579</v>
      </c>
      <c r="FF6">
        <v>71448</v>
      </c>
      <c r="FG6">
        <v>27480</v>
      </c>
      <c r="FH6">
        <v>9618</v>
      </c>
      <c r="FI6">
        <v>15114</v>
      </c>
      <c r="FJ6">
        <v>824</v>
      </c>
      <c r="FK6">
        <v>275</v>
      </c>
      <c r="FL6">
        <v>220</v>
      </c>
      <c r="FM6">
        <v>1237</v>
      </c>
      <c r="FN6">
        <v>25</v>
      </c>
      <c r="FO6" t="s">
        <v>278</v>
      </c>
      <c r="FP6">
        <v>110</v>
      </c>
      <c r="FQ6">
        <v>31</v>
      </c>
      <c r="FR6">
        <v>25</v>
      </c>
      <c r="FS6">
        <v>27892</v>
      </c>
      <c r="FT6" t="s">
        <v>235</v>
      </c>
      <c r="FV6">
        <v>5</v>
      </c>
      <c r="FW6" t="s">
        <v>236</v>
      </c>
      <c r="FY6" t="s">
        <v>237</v>
      </c>
      <c r="FZ6" t="s">
        <v>222</v>
      </c>
      <c r="GA6" s="3">
        <v>46157</v>
      </c>
      <c r="GC6" t="s">
        <v>238</v>
      </c>
    </row>
    <row r="7" spans="1:185" x14ac:dyDescent="0.25">
      <c r="A7" t="s">
        <v>279</v>
      </c>
      <c r="B7" t="s">
        <v>280</v>
      </c>
      <c r="C7" t="s">
        <v>281</v>
      </c>
      <c r="D7" t="s">
        <v>282</v>
      </c>
      <c r="E7">
        <v>4</v>
      </c>
      <c r="F7" t="s">
        <v>283</v>
      </c>
      <c r="G7" t="s">
        <v>244</v>
      </c>
      <c r="H7" t="s">
        <v>193</v>
      </c>
      <c r="I7" t="s">
        <v>284</v>
      </c>
      <c r="J7" t="s">
        <v>195</v>
      </c>
      <c r="K7" t="s">
        <v>196</v>
      </c>
      <c r="L7" t="s">
        <v>197</v>
      </c>
      <c r="M7" t="s">
        <v>285</v>
      </c>
      <c r="N7" t="s">
        <v>199</v>
      </c>
      <c r="O7" t="s">
        <v>200</v>
      </c>
      <c r="P7" t="s">
        <v>201</v>
      </c>
      <c r="Q7" t="s">
        <v>202</v>
      </c>
      <c r="R7" t="s">
        <v>203</v>
      </c>
      <c r="S7" t="s">
        <v>204</v>
      </c>
      <c r="T7" t="s">
        <v>205</v>
      </c>
      <c r="U7" t="s">
        <v>206</v>
      </c>
      <c r="V7" t="s">
        <v>207</v>
      </c>
      <c r="W7" t="s">
        <v>286</v>
      </c>
      <c r="X7" t="s">
        <v>287</v>
      </c>
      <c r="Y7" t="s">
        <v>288</v>
      </c>
      <c r="Z7">
        <v>44.742</v>
      </c>
      <c r="AA7">
        <v>-0.681</v>
      </c>
      <c r="AB7" t="s">
        <v>250</v>
      </c>
      <c r="AC7" t="s">
        <v>251</v>
      </c>
      <c r="AD7" t="s">
        <v>213</v>
      </c>
      <c r="AE7" t="s">
        <v>214</v>
      </c>
      <c r="AF7">
        <v>34</v>
      </c>
      <c r="AG7" t="s">
        <v>205</v>
      </c>
      <c r="AH7" t="s">
        <v>289</v>
      </c>
      <c r="AI7" t="s">
        <v>290</v>
      </c>
      <c r="AJ7" t="s">
        <v>291</v>
      </c>
      <c r="AK7" t="s">
        <v>292</v>
      </c>
      <c r="AL7" t="s">
        <v>293</v>
      </c>
      <c r="AM7" t="s">
        <v>218</v>
      </c>
      <c r="AN7" t="s">
        <v>219</v>
      </c>
      <c r="AO7" t="s">
        <v>294</v>
      </c>
      <c r="AP7" s="3">
        <v>46934</v>
      </c>
      <c r="AQ7" t="s">
        <v>220</v>
      </c>
      <c r="AR7" s="3">
        <v>46752</v>
      </c>
      <c r="AS7" s="3">
        <v>46568</v>
      </c>
      <c r="AT7" t="s">
        <v>221</v>
      </c>
      <c r="AV7" t="s">
        <v>222</v>
      </c>
      <c r="AW7">
        <v>1164800</v>
      </c>
      <c r="AX7">
        <v>1199744</v>
      </c>
      <c r="AY7">
        <v>53.56</v>
      </c>
      <c r="AZ7">
        <v>1235736</v>
      </c>
      <c r="BA7">
        <v>55.17</v>
      </c>
      <c r="BB7">
        <v>0.03</v>
      </c>
      <c r="BC7">
        <v>1272808</v>
      </c>
      <c r="BD7">
        <v>56.82</v>
      </c>
      <c r="BE7">
        <v>0.03</v>
      </c>
      <c r="BF7">
        <v>1310993</v>
      </c>
      <c r="BG7">
        <v>58.53</v>
      </c>
      <c r="BH7">
        <v>0.03</v>
      </c>
      <c r="BI7">
        <v>1310993</v>
      </c>
      <c r="BJ7">
        <v>120000</v>
      </c>
      <c r="BK7">
        <v>3</v>
      </c>
      <c r="BM7">
        <v>48.5</v>
      </c>
      <c r="BN7">
        <v>52</v>
      </c>
      <c r="BO7" t="s">
        <v>223</v>
      </c>
      <c r="BP7" t="s">
        <v>224</v>
      </c>
      <c r="BQ7">
        <v>0.045</v>
      </c>
      <c r="BR7">
        <v>140</v>
      </c>
      <c r="BT7" t="s">
        <v>225</v>
      </c>
      <c r="BU7" t="s">
        <v>226</v>
      </c>
      <c r="BY7">
        <v>2020</v>
      </c>
      <c r="BZ7">
        <v>2128000</v>
      </c>
      <c r="CA7">
        <v>896000</v>
      </c>
      <c r="CB7">
        <v>2128000</v>
      </c>
      <c r="CC7">
        <v>95</v>
      </c>
      <c r="CD7">
        <v>896000</v>
      </c>
      <c r="CE7">
        <v>40</v>
      </c>
      <c r="CF7">
        <v>2064160</v>
      </c>
      <c r="CG7">
        <v>92.15</v>
      </c>
      <c r="CH7">
        <v>851200</v>
      </c>
      <c r="CI7">
        <v>38</v>
      </c>
      <c r="CJ7" t="s">
        <v>222</v>
      </c>
      <c r="CL7">
        <v>2002235</v>
      </c>
      <c r="CM7">
        <v>89.39</v>
      </c>
      <c r="CN7">
        <v>808640</v>
      </c>
      <c r="CO7">
        <v>36.1</v>
      </c>
      <c r="CP7">
        <v>2688</v>
      </c>
      <c r="CQ7">
        <v>0.12</v>
      </c>
      <c r="CR7">
        <v>1942168</v>
      </c>
      <c r="CS7">
        <v>86.7</v>
      </c>
      <c r="CT7">
        <v>768208</v>
      </c>
      <c r="CU7">
        <v>34.3</v>
      </c>
      <c r="CV7">
        <v>2715</v>
      </c>
      <c r="CW7">
        <v>0.1212</v>
      </c>
      <c r="CY7">
        <v>201600</v>
      </c>
      <c r="CZ7">
        <v>9</v>
      </c>
      <c r="DA7">
        <v>209664</v>
      </c>
      <c r="DB7">
        <v>9.36</v>
      </c>
      <c r="DC7">
        <v>218051</v>
      </c>
      <c r="DD7">
        <v>9.73</v>
      </c>
      <c r="DE7">
        <v>238112</v>
      </c>
      <c r="DF7">
        <v>226773</v>
      </c>
      <c r="DG7">
        <v>10.12</v>
      </c>
      <c r="DH7">
        <v>245277</v>
      </c>
      <c r="DI7">
        <v>10.95</v>
      </c>
      <c r="DJ7">
        <v>51460</v>
      </c>
      <c r="DL7">
        <v>40320</v>
      </c>
      <c r="DM7">
        <v>1.8</v>
      </c>
      <c r="DN7">
        <v>42336</v>
      </c>
      <c r="DO7">
        <v>1.89</v>
      </c>
      <c r="DP7">
        <v>44453</v>
      </c>
      <c r="DQ7">
        <v>1.98</v>
      </c>
      <c r="DR7">
        <v>46675</v>
      </c>
      <c r="DS7">
        <v>2.08</v>
      </c>
      <c r="DT7">
        <v>0.05</v>
      </c>
      <c r="DU7">
        <v>134400</v>
      </c>
      <c r="DV7">
        <v>6</v>
      </c>
      <c r="DW7">
        <v>139776</v>
      </c>
      <c r="DX7">
        <v>6.24</v>
      </c>
      <c r="DY7">
        <v>145367</v>
      </c>
      <c r="DZ7">
        <v>6.49</v>
      </c>
      <c r="EA7">
        <v>0.04</v>
      </c>
      <c r="EB7">
        <v>151182</v>
      </c>
      <c r="EC7">
        <v>6.75</v>
      </c>
      <c r="ED7">
        <v>0.04</v>
      </c>
      <c r="EE7">
        <v>156800</v>
      </c>
      <c r="EP7" t="s">
        <v>295</v>
      </c>
      <c r="EQ7" t="s">
        <v>205</v>
      </c>
      <c r="ER7" t="s">
        <v>229</v>
      </c>
      <c r="ES7" s="3">
        <v>47118</v>
      </c>
      <c r="ET7" t="s">
        <v>230</v>
      </c>
      <c r="EU7" t="s">
        <v>220</v>
      </c>
      <c r="EV7" t="s">
        <v>231</v>
      </c>
      <c r="EW7" t="s">
        <v>296</v>
      </c>
      <c r="EX7">
        <v>124</v>
      </c>
      <c r="EY7">
        <v>94080000</v>
      </c>
      <c r="EZ7">
        <v>2128000</v>
      </c>
      <c r="FA7" t="s">
        <v>258</v>
      </c>
      <c r="FB7" t="s">
        <v>297</v>
      </c>
      <c r="FD7" t="s">
        <v>298</v>
      </c>
      <c r="FE7">
        <v>23296</v>
      </c>
      <c r="FF7">
        <v>58240</v>
      </c>
      <c r="FG7">
        <v>22400</v>
      </c>
      <c r="FH7">
        <v>7840</v>
      </c>
      <c r="FI7">
        <v>12320</v>
      </c>
      <c r="FJ7">
        <v>672</v>
      </c>
      <c r="FK7">
        <v>224</v>
      </c>
      <c r="FL7">
        <v>179</v>
      </c>
      <c r="FM7">
        <v>1008</v>
      </c>
      <c r="FN7">
        <v>25</v>
      </c>
      <c r="FO7">
        <v>12.5</v>
      </c>
      <c r="FP7">
        <v>90</v>
      </c>
      <c r="FQ7">
        <v>25</v>
      </c>
      <c r="FR7">
        <v>20</v>
      </c>
      <c r="FT7" t="s">
        <v>235</v>
      </c>
      <c r="FV7">
        <v>4</v>
      </c>
      <c r="FW7" t="s">
        <v>236</v>
      </c>
      <c r="FY7" t="s">
        <v>237</v>
      </c>
      <c r="FZ7" t="s">
        <v>222</v>
      </c>
      <c r="GA7" s="3">
        <v>46157</v>
      </c>
      <c r="GC7" t="s">
        <v>238</v>
      </c>
    </row>
    <row r="8" spans="1:185" x14ac:dyDescent="0.25">
      <c r="A8" t="s">
        <v>299</v>
      </c>
      <c r="B8" t="s">
        <v>300</v>
      </c>
      <c r="C8" t="s">
        <v>301</v>
      </c>
      <c r="D8" t="s">
        <v>302</v>
      </c>
      <c r="E8">
        <v>5</v>
      </c>
      <c r="F8" t="s">
        <v>303</v>
      </c>
      <c r="G8" t="s">
        <v>192</v>
      </c>
      <c r="H8" t="s">
        <v>193</v>
      </c>
      <c r="I8" t="s">
        <v>304</v>
      </c>
      <c r="J8" t="s">
        <v>195</v>
      </c>
      <c r="K8" t="s">
        <v>196</v>
      </c>
      <c r="L8" t="s">
        <v>197</v>
      </c>
      <c r="M8" t="s">
        <v>305</v>
      </c>
      <c r="N8" t="s">
        <v>199</v>
      </c>
      <c r="O8" t="s">
        <v>200</v>
      </c>
      <c r="P8" t="s">
        <v>201</v>
      </c>
      <c r="Q8" t="s">
        <v>202</v>
      </c>
      <c r="R8" t="s">
        <v>203</v>
      </c>
      <c r="S8" t="s">
        <v>306</v>
      </c>
      <c r="T8" t="s">
        <v>222</v>
      </c>
      <c r="U8" t="s">
        <v>206</v>
      </c>
      <c r="V8" t="s">
        <v>207</v>
      </c>
      <c r="W8" t="s">
        <v>307</v>
      </c>
      <c r="X8" t="s">
        <v>308</v>
      </c>
      <c r="Y8" t="s">
        <v>309</v>
      </c>
      <c r="Z8">
        <v>48.215</v>
      </c>
      <c r="AA8">
        <v>-1.753</v>
      </c>
      <c r="AB8" t="s">
        <v>211</v>
      </c>
      <c r="AC8" t="s">
        <v>212</v>
      </c>
      <c r="AD8" t="s">
        <v>213</v>
      </c>
      <c r="AE8" t="s">
        <v>214</v>
      </c>
      <c r="AF8">
        <v>35</v>
      </c>
      <c r="AG8" t="s">
        <v>205</v>
      </c>
      <c r="AH8" t="s">
        <v>310</v>
      </c>
      <c r="AI8" t="s">
        <v>311</v>
      </c>
      <c r="AJ8" s="3">
        <v>38412</v>
      </c>
      <c r="AK8" s="3">
        <v>41640</v>
      </c>
      <c r="AL8" s="3">
        <v>44378</v>
      </c>
      <c r="AM8" t="s">
        <v>218</v>
      </c>
      <c r="AN8" t="s">
        <v>219</v>
      </c>
      <c r="AO8" s="3">
        <v>48213</v>
      </c>
      <c r="AP8" s="3">
        <v>47299</v>
      </c>
      <c r="AQ8" t="s">
        <v>312</v>
      </c>
      <c r="AR8" s="3">
        <v>47118</v>
      </c>
      <c r="AS8" s="3">
        <v>46934</v>
      </c>
      <c r="AT8" t="s">
        <v>221</v>
      </c>
      <c r="AV8" t="s">
        <v>222</v>
      </c>
      <c r="AW8">
        <v>982800</v>
      </c>
      <c r="AX8">
        <v>1012284</v>
      </c>
      <c r="AY8">
        <v>53.56</v>
      </c>
      <c r="AZ8">
        <v>1042653</v>
      </c>
      <c r="BA8">
        <v>55.17</v>
      </c>
      <c r="BB8">
        <v>0.03</v>
      </c>
      <c r="BC8">
        <v>1073932</v>
      </c>
      <c r="BD8">
        <v>56.82</v>
      </c>
      <c r="BE8">
        <v>0.03</v>
      </c>
      <c r="BF8">
        <v>1106150</v>
      </c>
      <c r="BG8">
        <v>58.53</v>
      </c>
      <c r="BH8">
        <v>0.03</v>
      </c>
      <c r="BI8">
        <v>1106150</v>
      </c>
      <c r="BJ8">
        <v>120000</v>
      </c>
      <c r="BK8">
        <v>3</v>
      </c>
      <c r="BM8">
        <v>48.5</v>
      </c>
      <c r="BN8">
        <v>52</v>
      </c>
      <c r="BO8" t="s">
        <v>223</v>
      </c>
      <c r="BP8" t="s">
        <v>224</v>
      </c>
      <c r="BQ8">
        <v>0.045</v>
      </c>
      <c r="BR8">
        <v>140</v>
      </c>
      <c r="BT8" t="s">
        <v>225</v>
      </c>
      <c r="BU8" t="s">
        <v>226</v>
      </c>
      <c r="BY8">
        <v>2020</v>
      </c>
      <c r="BZ8">
        <v>1795500</v>
      </c>
      <c r="CA8">
        <v>756000</v>
      </c>
      <c r="CB8">
        <v>1795500</v>
      </c>
      <c r="CC8">
        <v>95</v>
      </c>
      <c r="CD8">
        <v>756000</v>
      </c>
      <c r="CE8">
        <v>40</v>
      </c>
      <c r="CF8">
        <v>1741635</v>
      </c>
      <c r="CG8">
        <v>92.15</v>
      </c>
      <c r="CH8">
        <v>718200</v>
      </c>
      <c r="CI8">
        <v>38</v>
      </c>
      <c r="CJ8" t="s">
        <v>222</v>
      </c>
      <c r="CL8">
        <v>1689386</v>
      </c>
      <c r="CM8">
        <v>89.39</v>
      </c>
      <c r="CN8">
        <v>682290</v>
      </c>
      <c r="CO8">
        <v>36.1</v>
      </c>
      <c r="CP8">
        <v>2268</v>
      </c>
      <c r="CQ8">
        <v>0.12</v>
      </c>
      <c r="CR8">
        <v>1638704</v>
      </c>
      <c r="CS8">
        <v>86.7</v>
      </c>
      <c r="CT8">
        <v>648175</v>
      </c>
      <c r="CU8">
        <v>34.29</v>
      </c>
      <c r="CV8">
        <v>2291</v>
      </c>
      <c r="CW8">
        <v>0.1212</v>
      </c>
      <c r="CY8">
        <v>170100</v>
      </c>
      <c r="CZ8">
        <v>9</v>
      </c>
      <c r="DA8">
        <v>176904</v>
      </c>
      <c r="DB8">
        <v>9.36</v>
      </c>
      <c r="DC8">
        <v>183980</v>
      </c>
      <c r="DD8">
        <v>9.73</v>
      </c>
      <c r="DE8">
        <v>200906</v>
      </c>
      <c r="DF8">
        <v>191339</v>
      </c>
      <c r="DG8">
        <v>10.12</v>
      </c>
      <c r="DH8">
        <v>206953</v>
      </c>
      <c r="DI8">
        <v>10.95</v>
      </c>
      <c r="DJ8">
        <v>43419</v>
      </c>
      <c r="DL8">
        <v>34020</v>
      </c>
      <c r="DM8">
        <v>1.8</v>
      </c>
      <c r="DN8">
        <v>35721</v>
      </c>
      <c r="DO8">
        <v>1.89</v>
      </c>
      <c r="DP8">
        <v>37507</v>
      </c>
      <c r="DQ8">
        <v>1.98</v>
      </c>
      <c r="DR8">
        <v>39382</v>
      </c>
      <c r="DS8">
        <v>2.08</v>
      </c>
      <c r="DT8">
        <v>0.05</v>
      </c>
      <c r="DU8">
        <v>113400</v>
      </c>
      <c r="DV8">
        <v>6</v>
      </c>
      <c r="DW8">
        <v>117936</v>
      </c>
      <c r="DX8">
        <v>6.24</v>
      </c>
      <c r="DY8">
        <v>122653</v>
      </c>
      <c r="DZ8">
        <v>6.49</v>
      </c>
      <c r="EA8">
        <v>0.04</v>
      </c>
      <c r="EB8">
        <v>127560</v>
      </c>
      <c r="EC8">
        <v>6.75</v>
      </c>
      <c r="ED8">
        <v>0.04</v>
      </c>
      <c r="EE8">
        <v>132300</v>
      </c>
      <c r="EP8" s="3">
        <v>43466</v>
      </c>
      <c r="EQ8" t="s">
        <v>205</v>
      </c>
      <c r="ER8" t="s">
        <v>229</v>
      </c>
      <c r="ES8" s="3">
        <v>47118</v>
      </c>
      <c r="ET8" t="s">
        <v>230</v>
      </c>
      <c r="EU8" t="s">
        <v>220</v>
      </c>
      <c r="EV8" t="s">
        <v>231</v>
      </c>
      <c r="EW8" s="3">
        <v>46752</v>
      </c>
      <c r="EX8">
        <v>105</v>
      </c>
      <c r="EY8">
        <v>79380000</v>
      </c>
      <c r="EZ8">
        <v>1795500</v>
      </c>
      <c r="FA8" t="s">
        <v>232</v>
      </c>
      <c r="FB8">
        <v>2000</v>
      </c>
      <c r="FE8">
        <v>19656</v>
      </c>
      <c r="FF8">
        <v>49140</v>
      </c>
      <c r="FG8">
        <v>18900</v>
      </c>
      <c r="FH8">
        <v>6615</v>
      </c>
      <c r="FI8">
        <v>10395</v>
      </c>
      <c r="FJ8">
        <v>567</v>
      </c>
      <c r="FK8">
        <v>189</v>
      </c>
      <c r="FL8">
        <v>151</v>
      </c>
      <c r="FM8">
        <v>851</v>
      </c>
      <c r="FN8">
        <v>25</v>
      </c>
      <c r="FO8">
        <v>12.5</v>
      </c>
      <c r="FP8">
        <v>76</v>
      </c>
      <c r="FQ8">
        <v>21</v>
      </c>
      <c r="FR8">
        <v>17</v>
      </c>
      <c r="FT8" t="s">
        <v>235</v>
      </c>
      <c r="FV8">
        <v>3</v>
      </c>
      <c r="FW8" t="s">
        <v>236</v>
      </c>
      <c r="FY8" t="s">
        <v>237</v>
      </c>
      <c r="FZ8" t="s">
        <v>222</v>
      </c>
      <c r="GA8" s="3">
        <v>46157</v>
      </c>
      <c r="GC8" t="s">
        <v>238</v>
      </c>
    </row>
    <row r="9" spans="1:185" x14ac:dyDescent="0.25">
      <c r="A9" t="s">
        <v>313</v>
      </c>
      <c r="B9" t="s">
        <v>314</v>
      </c>
      <c r="C9" t="s">
        <v>315</v>
      </c>
      <c r="D9" t="s">
        <v>316</v>
      </c>
      <c r="E9">
        <v>6</v>
      </c>
      <c r="F9" t="s">
        <v>317</v>
      </c>
      <c r="G9" t="s">
        <v>244</v>
      </c>
      <c r="H9" t="s">
        <v>193</v>
      </c>
      <c r="I9" t="s">
        <v>318</v>
      </c>
      <c r="J9" t="s">
        <v>195</v>
      </c>
      <c r="K9" t="s">
        <v>196</v>
      </c>
      <c r="L9" t="s">
        <v>197</v>
      </c>
      <c r="M9" t="s">
        <v>319</v>
      </c>
      <c r="N9" t="s">
        <v>199</v>
      </c>
      <c r="O9" t="s">
        <v>200</v>
      </c>
      <c r="P9" t="s">
        <v>201</v>
      </c>
      <c r="Q9" t="s">
        <v>202</v>
      </c>
      <c r="R9" t="s">
        <v>203</v>
      </c>
      <c r="S9" t="s">
        <v>204</v>
      </c>
      <c r="T9" t="s">
        <v>205</v>
      </c>
      <c r="U9" t="s">
        <v>267</v>
      </c>
      <c r="W9" t="s">
        <v>320</v>
      </c>
      <c r="X9" t="s">
        <v>321</v>
      </c>
      <c r="Y9" t="s">
        <v>322</v>
      </c>
      <c r="Z9">
        <v>7.7521</v>
      </c>
      <c r="AA9">
        <v>48.5734</v>
      </c>
      <c r="AB9" t="s">
        <v>250</v>
      </c>
      <c r="AC9" t="s">
        <v>251</v>
      </c>
      <c r="AD9" t="s">
        <v>213</v>
      </c>
      <c r="AE9" t="s">
        <v>214</v>
      </c>
      <c r="AF9">
        <v>36</v>
      </c>
      <c r="AG9" t="s">
        <v>205</v>
      </c>
      <c r="AH9" t="s">
        <v>323</v>
      </c>
      <c r="AI9" t="s">
        <v>324</v>
      </c>
      <c r="AJ9" s="3">
        <v>38777</v>
      </c>
      <c r="AK9" s="3">
        <v>41640</v>
      </c>
      <c r="AL9" s="3">
        <v>44378</v>
      </c>
      <c r="AM9" t="s">
        <v>218</v>
      </c>
      <c r="AN9" t="s">
        <v>219</v>
      </c>
      <c r="AO9" s="3">
        <v>48213</v>
      </c>
      <c r="AP9" s="3">
        <v>47664</v>
      </c>
      <c r="AQ9" t="s">
        <v>220</v>
      </c>
      <c r="AR9" s="3">
        <v>47483</v>
      </c>
      <c r="AS9" s="3">
        <v>47299</v>
      </c>
      <c r="AT9" t="s">
        <v>221</v>
      </c>
      <c r="AV9" t="s">
        <v>222</v>
      </c>
      <c r="AW9">
        <v>1109680</v>
      </c>
      <c r="AX9">
        <v>1142970</v>
      </c>
      <c r="AY9">
        <v>53.56</v>
      </c>
      <c r="AZ9">
        <v>1177260</v>
      </c>
      <c r="BA9">
        <v>55.17</v>
      </c>
      <c r="BB9">
        <v>0.03</v>
      </c>
      <c r="BC9">
        <v>1212577</v>
      </c>
      <c r="BD9">
        <v>56.82</v>
      </c>
      <c r="BE9">
        <v>0.03</v>
      </c>
      <c r="BF9">
        <v>1248955</v>
      </c>
      <c r="BG9">
        <v>58.53</v>
      </c>
      <c r="BH9">
        <v>0.03</v>
      </c>
      <c r="BI9">
        <v>1248955</v>
      </c>
      <c r="BJ9">
        <v>120000</v>
      </c>
      <c r="BK9">
        <v>3</v>
      </c>
      <c r="BM9">
        <v>48.5</v>
      </c>
      <c r="BN9">
        <v>52</v>
      </c>
      <c r="BO9" t="s">
        <v>223</v>
      </c>
      <c r="BP9" t="s">
        <v>224</v>
      </c>
      <c r="BQ9">
        <v>0.045</v>
      </c>
      <c r="BR9">
        <v>140</v>
      </c>
      <c r="BT9" t="s">
        <v>225</v>
      </c>
      <c r="BU9" t="s">
        <v>226</v>
      </c>
      <c r="BY9">
        <v>2020</v>
      </c>
      <c r="BZ9">
        <v>2027300</v>
      </c>
      <c r="CA9">
        <v>853600</v>
      </c>
      <c r="CB9">
        <v>2027300</v>
      </c>
      <c r="CC9">
        <v>95</v>
      </c>
      <c r="CD9">
        <v>853600</v>
      </c>
      <c r="CE9">
        <v>40</v>
      </c>
      <c r="CF9">
        <v>1966481</v>
      </c>
      <c r="CG9">
        <v>92.15</v>
      </c>
      <c r="CH9">
        <v>810920</v>
      </c>
      <c r="CI9">
        <v>38</v>
      </c>
      <c r="CJ9" t="s">
        <v>222</v>
      </c>
      <c r="CL9">
        <v>1907487</v>
      </c>
      <c r="CM9">
        <v>89.39</v>
      </c>
      <c r="CN9">
        <v>770374</v>
      </c>
      <c r="CO9">
        <v>36.1</v>
      </c>
      <c r="CP9">
        <v>2561</v>
      </c>
      <c r="CQ9">
        <v>0.12</v>
      </c>
      <c r="CR9">
        <v>1850262</v>
      </c>
      <c r="CS9">
        <v>86.7</v>
      </c>
      <c r="CT9">
        <v>731855</v>
      </c>
      <c r="CU9">
        <v>34.29</v>
      </c>
      <c r="CV9">
        <v>2586</v>
      </c>
      <c r="CW9">
        <v>0.1212</v>
      </c>
      <c r="CY9">
        <v>192060</v>
      </c>
      <c r="CZ9">
        <v>9</v>
      </c>
      <c r="DA9">
        <v>199742</v>
      </c>
      <c r="DB9">
        <v>9.36</v>
      </c>
      <c r="DC9">
        <v>207732</v>
      </c>
      <c r="DD9">
        <v>9.73</v>
      </c>
      <c r="DE9">
        <v>226843</v>
      </c>
      <c r="DF9">
        <v>216041</v>
      </c>
      <c r="DG9">
        <v>10.12</v>
      </c>
      <c r="DH9">
        <v>233670</v>
      </c>
      <c r="DI9">
        <v>10.95</v>
      </c>
      <c r="DJ9">
        <v>49025</v>
      </c>
      <c r="DL9">
        <v>38412</v>
      </c>
      <c r="DM9">
        <v>1.8</v>
      </c>
      <c r="DN9">
        <v>40333</v>
      </c>
      <c r="DO9">
        <v>1.89</v>
      </c>
      <c r="DP9">
        <v>42349</v>
      </c>
      <c r="DQ9">
        <v>1.98</v>
      </c>
      <c r="DR9">
        <v>44467</v>
      </c>
      <c r="DS9">
        <v>2.08</v>
      </c>
      <c r="DT9">
        <v>0.05</v>
      </c>
      <c r="DU9">
        <v>128040</v>
      </c>
      <c r="DV9">
        <v>6</v>
      </c>
      <c r="DW9">
        <v>133162</v>
      </c>
      <c r="DX9">
        <v>6.24</v>
      </c>
      <c r="DY9">
        <v>138488</v>
      </c>
      <c r="DZ9">
        <v>6.49</v>
      </c>
      <c r="EA9">
        <v>0.04</v>
      </c>
      <c r="EB9">
        <v>144028</v>
      </c>
      <c r="EC9">
        <v>6.75</v>
      </c>
      <c r="ED9">
        <v>0.04</v>
      </c>
      <c r="EE9">
        <v>149380</v>
      </c>
      <c r="EP9" s="3">
        <v>43466</v>
      </c>
      <c r="EQ9" t="s">
        <v>205</v>
      </c>
      <c r="ER9" t="s">
        <v>229</v>
      </c>
      <c r="ES9" s="3">
        <v>47118</v>
      </c>
      <c r="ET9" t="s">
        <v>230</v>
      </c>
      <c r="EU9" t="s">
        <v>220</v>
      </c>
      <c r="EV9" t="s">
        <v>231</v>
      </c>
      <c r="EW9" s="3">
        <v>46752</v>
      </c>
      <c r="EX9">
        <v>119</v>
      </c>
      <c r="EY9">
        <v>89628000</v>
      </c>
      <c r="EZ9">
        <v>2027300</v>
      </c>
      <c r="FA9" t="s">
        <v>258</v>
      </c>
      <c r="FB9">
        <v>2001</v>
      </c>
      <c r="FE9">
        <v>22194</v>
      </c>
      <c r="FF9">
        <v>55484</v>
      </c>
      <c r="FG9">
        <v>21340</v>
      </c>
      <c r="FH9">
        <v>7469</v>
      </c>
      <c r="FI9">
        <v>11737</v>
      </c>
      <c r="FJ9">
        <v>640</v>
      </c>
      <c r="FK9">
        <v>213</v>
      </c>
      <c r="FL9">
        <v>171</v>
      </c>
      <c r="FM9">
        <v>960</v>
      </c>
      <c r="FN9">
        <v>25</v>
      </c>
      <c r="FO9">
        <v>12.5</v>
      </c>
      <c r="FP9">
        <v>85</v>
      </c>
      <c r="FQ9">
        <v>24</v>
      </c>
      <c r="FR9">
        <v>19</v>
      </c>
      <c r="FS9">
        <v>21660</v>
      </c>
      <c r="FT9" t="s">
        <v>235</v>
      </c>
      <c r="FV9">
        <v>4</v>
      </c>
      <c r="FW9" t="s">
        <v>236</v>
      </c>
      <c r="FY9" t="s">
        <v>237</v>
      </c>
      <c r="FZ9" t="s">
        <v>222</v>
      </c>
      <c r="GA9" s="3">
        <v>46157</v>
      </c>
      <c r="GC9" t="s">
        <v>238</v>
      </c>
    </row>
    <row r="10" spans="1:185" x14ac:dyDescent="0.25">
      <c r="A10" t="s">
        <v>325</v>
      </c>
      <c r="B10" t="s">
        <v>326</v>
      </c>
      <c r="C10" t="s">
        <v>327</v>
      </c>
      <c r="D10" t="s">
        <v>328</v>
      </c>
      <c r="E10">
        <v>7</v>
      </c>
      <c r="F10" t="s">
        <v>329</v>
      </c>
      <c r="G10" t="s">
        <v>192</v>
      </c>
      <c r="H10" t="s">
        <v>193</v>
      </c>
      <c r="I10" t="s">
        <v>330</v>
      </c>
      <c r="J10" t="s">
        <v>195</v>
      </c>
      <c r="K10" t="s">
        <v>196</v>
      </c>
      <c r="L10" t="s">
        <v>197</v>
      </c>
      <c r="M10" t="s">
        <v>331</v>
      </c>
      <c r="N10" t="s">
        <v>199</v>
      </c>
      <c r="O10" t="s">
        <v>200</v>
      </c>
      <c r="P10" t="s">
        <v>201</v>
      </c>
      <c r="Q10" t="s">
        <v>202</v>
      </c>
      <c r="R10" t="s">
        <v>203</v>
      </c>
      <c r="S10" t="s">
        <v>204</v>
      </c>
      <c r="T10" t="s">
        <v>205</v>
      </c>
      <c r="U10" t="s">
        <v>206</v>
      </c>
      <c r="V10" t="s">
        <v>207</v>
      </c>
      <c r="W10" t="s">
        <v>332</v>
      </c>
      <c r="X10" t="s">
        <v>333</v>
      </c>
      <c r="Y10" t="s">
        <v>334</v>
      </c>
      <c r="Z10">
        <v>40.4168</v>
      </c>
      <c r="AA10">
        <v>-3.7038</v>
      </c>
      <c r="AB10" t="s">
        <v>211</v>
      </c>
      <c r="AC10" t="s">
        <v>212</v>
      </c>
      <c r="AD10" t="s">
        <v>213</v>
      </c>
      <c r="AE10" t="s">
        <v>214</v>
      </c>
      <c r="AF10">
        <v>37</v>
      </c>
      <c r="AG10" t="s">
        <v>205</v>
      </c>
      <c r="AH10" t="s">
        <v>335</v>
      </c>
      <c r="AI10" t="s">
        <v>336</v>
      </c>
      <c r="AJ10" s="3">
        <v>39142</v>
      </c>
      <c r="AK10" s="3">
        <v>41640</v>
      </c>
      <c r="AL10" s="3">
        <v>44378</v>
      </c>
      <c r="AM10" t="s">
        <v>218</v>
      </c>
      <c r="AN10" t="s">
        <v>219</v>
      </c>
      <c r="AO10" s="3">
        <v>48213</v>
      </c>
      <c r="AP10" s="3">
        <v>48029</v>
      </c>
      <c r="AQ10" t="s">
        <v>220</v>
      </c>
      <c r="AR10" s="3">
        <v>47848</v>
      </c>
      <c r="AS10" s="3">
        <v>47664</v>
      </c>
      <c r="AT10" t="s">
        <v>221</v>
      </c>
      <c r="AV10" t="s">
        <v>222</v>
      </c>
      <c r="AW10">
        <v>2067520</v>
      </c>
      <c r="AX10">
        <v>2129546</v>
      </c>
      <c r="AY10">
        <v>53.56</v>
      </c>
      <c r="AZ10">
        <v>2193432</v>
      </c>
      <c r="BA10">
        <v>55.17</v>
      </c>
      <c r="BB10">
        <v>0.03</v>
      </c>
      <c r="BC10">
        <v>2259235</v>
      </c>
      <c r="BD10">
        <v>56.82</v>
      </c>
      <c r="BE10">
        <v>0.03</v>
      </c>
      <c r="BF10">
        <v>2327012</v>
      </c>
      <c r="BG10">
        <v>58.53</v>
      </c>
      <c r="BH10">
        <v>0.03</v>
      </c>
      <c r="BI10">
        <v>2327012</v>
      </c>
      <c r="BJ10">
        <v>120000</v>
      </c>
      <c r="BK10">
        <v>3</v>
      </c>
      <c r="BM10">
        <v>48.5</v>
      </c>
      <c r="BN10">
        <v>52</v>
      </c>
      <c r="BO10" t="s">
        <v>223</v>
      </c>
      <c r="BP10" t="s">
        <v>224</v>
      </c>
      <c r="BQ10">
        <v>0.045</v>
      </c>
      <c r="BR10">
        <v>140</v>
      </c>
      <c r="BT10" t="s">
        <v>225</v>
      </c>
      <c r="BU10" t="s">
        <v>226</v>
      </c>
      <c r="BY10">
        <v>2020</v>
      </c>
      <c r="BZ10">
        <v>3777200</v>
      </c>
      <c r="CA10">
        <v>1590400</v>
      </c>
      <c r="CB10">
        <v>3777200</v>
      </c>
      <c r="CC10">
        <v>95</v>
      </c>
      <c r="CD10">
        <v>1590400</v>
      </c>
      <c r="CE10">
        <v>40</v>
      </c>
      <c r="CF10">
        <v>3663884</v>
      </c>
      <c r="CG10">
        <v>92.15</v>
      </c>
      <c r="CH10">
        <v>1510880</v>
      </c>
      <c r="CI10">
        <v>38</v>
      </c>
      <c r="CJ10" t="s">
        <v>222</v>
      </c>
      <c r="CL10">
        <v>3553967</v>
      </c>
      <c r="CM10">
        <v>89.39</v>
      </c>
      <c r="CN10">
        <v>1435336</v>
      </c>
      <c r="CO10">
        <v>36.1</v>
      </c>
      <c r="CP10">
        <v>4771</v>
      </c>
      <c r="CQ10">
        <v>0.12</v>
      </c>
      <c r="CR10">
        <v>3447348</v>
      </c>
      <c r="CS10">
        <v>86.7</v>
      </c>
      <c r="CT10">
        <v>1363569</v>
      </c>
      <c r="CU10">
        <v>34.29</v>
      </c>
      <c r="CV10">
        <v>4819</v>
      </c>
      <c r="CW10">
        <v>0.1212</v>
      </c>
      <c r="CY10">
        <v>357840</v>
      </c>
      <c r="CZ10">
        <v>9</v>
      </c>
      <c r="DA10">
        <v>372154</v>
      </c>
      <c r="DB10">
        <v>9.36</v>
      </c>
      <c r="DC10">
        <v>387040</v>
      </c>
      <c r="DD10">
        <v>9.73</v>
      </c>
      <c r="DE10">
        <v>422647</v>
      </c>
      <c r="DF10">
        <v>402521</v>
      </c>
      <c r="DG10">
        <v>10.12</v>
      </c>
      <c r="DH10">
        <v>435367</v>
      </c>
      <c r="DI10">
        <v>10.95</v>
      </c>
      <c r="DJ10">
        <v>91341</v>
      </c>
      <c r="DL10">
        <v>71568</v>
      </c>
      <c r="DM10">
        <v>1.8</v>
      </c>
      <c r="DN10">
        <v>75146</v>
      </c>
      <c r="DO10">
        <v>1.89</v>
      </c>
      <c r="DP10">
        <v>78904</v>
      </c>
      <c r="DQ10">
        <v>1.98</v>
      </c>
      <c r="DR10">
        <v>82849</v>
      </c>
      <c r="DS10">
        <v>2.08</v>
      </c>
      <c r="DT10">
        <v>0.05</v>
      </c>
      <c r="DU10">
        <v>238560</v>
      </c>
      <c r="DV10">
        <v>6</v>
      </c>
      <c r="DW10">
        <v>248102</v>
      </c>
      <c r="DX10">
        <v>6.24</v>
      </c>
      <c r="DY10">
        <v>258026</v>
      </c>
      <c r="DZ10">
        <v>6.49</v>
      </c>
      <c r="EA10">
        <v>0.04</v>
      </c>
      <c r="EB10">
        <v>268348</v>
      </c>
      <c r="EC10">
        <v>6.75</v>
      </c>
      <c r="ED10">
        <v>0.04</v>
      </c>
      <c r="EE10">
        <v>278320</v>
      </c>
      <c r="EP10" s="3">
        <v>43466</v>
      </c>
      <c r="EQ10" t="s">
        <v>205</v>
      </c>
      <c r="ER10" t="s">
        <v>229</v>
      </c>
      <c r="ES10" s="3">
        <v>47118</v>
      </c>
      <c r="ET10" t="s">
        <v>230</v>
      </c>
      <c r="EU10" t="s">
        <v>220</v>
      </c>
      <c r="EV10" t="s">
        <v>231</v>
      </c>
      <c r="EW10" s="3">
        <v>46752</v>
      </c>
      <c r="EX10">
        <v>221</v>
      </c>
      <c r="EY10">
        <v>166992000</v>
      </c>
      <c r="EZ10">
        <v>3777200</v>
      </c>
      <c r="FA10" t="s">
        <v>232</v>
      </c>
      <c r="FB10">
        <v>2002</v>
      </c>
      <c r="FE10">
        <v>41350</v>
      </c>
      <c r="FF10">
        <v>103376</v>
      </c>
      <c r="FG10">
        <v>39760</v>
      </c>
      <c r="FH10">
        <v>13916</v>
      </c>
      <c r="FI10">
        <v>21868</v>
      </c>
      <c r="FJ10">
        <v>1193</v>
      </c>
      <c r="FK10">
        <v>398</v>
      </c>
      <c r="FL10">
        <v>318</v>
      </c>
      <c r="FM10">
        <v>1789</v>
      </c>
      <c r="FN10">
        <v>25</v>
      </c>
      <c r="FO10">
        <v>12.5</v>
      </c>
      <c r="FP10">
        <v>159</v>
      </c>
      <c r="FQ10">
        <v>44</v>
      </c>
      <c r="FR10">
        <v>36</v>
      </c>
      <c r="FT10" t="s">
        <v>235</v>
      </c>
      <c r="FV10">
        <v>7</v>
      </c>
      <c r="FW10" t="s">
        <v>236</v>
      </c>
      <c r="FY10" t="s">
        <v>237</v>
      </c>
      <c r="FZ10" t="s">
        <v>222</v>
      </c>
      <c r="GA10" s="3">
        <v>46157</v>
      </c>
      <c r="GC10" t="s">
        <v>238</v>
      </c>
    </row>
    <row r="11" spans="1:185" x14ac:dyDescent="0.25">
      <c r="A11" t="s">
        <v>337</v>
      </c>
      <c r="B11" t="s">
        <v>338</v>
      </c>
      <c r="C11" t="s">
        <v>339</v>
      </c>
      <c r="D11" t="s">
        <v>340</v>
      </c>
      <c r="E11">
        <v>8</v>
      </c>
      <c r="F11" t="s">
        <v>341</v>
      </c>
      <c r="G11" t="s">
        <v>244</v>
      </c>
      <c r="H11" t="s">
        <v>193</v>
      </c>
      <c r="I11" t="s">
        <v>342</v>
      </c>
      <c r="J11" t="s">
        <v>195</v>
      </c>
      <c r="K11" t="s">
        <v>196</v>
      </c>
      <c r="L11" t="s">
        <v>197</v>
      </c>
      <c r="M11" t="s">
        <v>343</v>
      </c>
      <c r="N11" t="s">
        <v>199</v>
      </c>
      <c r="O11" t="s">
        <v>200</v>
      </c>
      <c r="P11" t="s">
        <v>201</v>
      </c>
      <c r="Q11" t="s">
        <v>202</v>
      </c>
      <c r="R11" t="s">
        <v>203</v>
      </c>
      <c r="S11" t="s">
        <v>204</v>
      </c>
      <c r="T11" t="s">
        <v>205</v>
      </c>
      <c r="U11" t="s">
        <v>206</v>
      </c>
      <c r="V11" t="s">
        <v>207</v>
      </c>
      <c r="W11" t="s">
        <v>344</v>
      </c>
      <c r="X11" t="s">
        <v>345</v>
      </c>
      <c r="Y11" t="s">
        <v>346</v>
      </c>
      <c r="Z11">
        <v>49.045</v>
      </c>
      <c r="AA11">
        <v>2.11</v>
      </c>
      <c r="AB11" t="s">
        <v>250</v>
      </c>
      <c r="AC11" t="s">
        <v>251</v>
      </c>
      <c r="AD11" t="s">
        <v>213</v>
      </c>
      <c r="AE11" t="s">
        <v>214</v>
      </c>
      <c r="AF11">
        <v>38</v>
      </c>
      <c r="AG11" t="s">
        <v>205</v>
      </c>
      <c r="AH11" t="s">
        <v>347</v>
      </c>
      <c r="AI11" t="s">
        <v>348</v>
      </c>
      <c r="AJ11" s="3">
        <v>39508</v>
      </c>
      <c r="AK11" s="3">
        <v>41640</v>
      </c>
      <c r="AL11" s="3">
        <v>44378</v>
      </c>
      <c r="AM11" t="s">
        <v>218</v>
      </c>
      <c r="AN11" t="s">
        <v>219</v>
      </c>
      <c r="AO11" s="3">
        <v>48213</v>
      </c>
      <c r="AP11" s="3">
        <v>46934</v>
      </c>
      <c r="AQ11" t="s">
        <v>220</v>
      </c>
      <c r="AR11" s="3">
        <v>46752</v>
      </c>
      <c r="AS11" s="3">
        <v>46568</v>
      </c>
      <c r="AT11" t="s">
        <v>221</v>
      </c>
      <c r="AV11" t="s">
        <v>222</v>
      </c>
      <c r="AW11">
        <v>804960</v>
      </c>
      <c r="AX11">
        <v>829109</v>
      </c>
      <c r="AY11">
        <v>53.56</v>
      </c>
      <c r="AZ11">
        <v>853982</v>
      </c>
      <c r="BA11">
        <v>55.17</v>
      </c>
      <c r="BB11">
        <v>0.03</v>
      </c>
      <c r="BC11">
        <v>879602</v>
      </c>
      <c r="BD11">
        <v>56.82</v>
      </c>
      <c r="BE11">
        <v>0.03</v>
      </c>
      <c r="BF11">
        <v>905990</v>
      </c>
      <c r="BG11">
        <v>58.53</v>
      </c>
      <c r="BH11">
        <v>0.03</v>
      </c>
      <c r="BI11">
        <v>905990</v>
      </c>
      <c r="BJ11">
        <v>120000</v>
      </c>
      <c r="BK11">
        <v>3</v>
      </c>
      <c r="BM11">
        <v>48.5</v>
      </c>
      <c r="BN11">
        <v>52</v>
      </c>
      <c r="BO11" t="s">
        <v>223</v>
      </c>
      <c r="BP11" t="s">
        <v>224</v>
      </c>
      <c r="BQ11">
        <v>0.045</v>
      </c>
      <c r="BR11">
        <v>140</v>
      </c>
      <c r="BT11" t="s">
        <v>225</v>
      </c>
      <c r="BU11" t="s">
        <v>226</v>
      </c>
      <c r="BY11">
        <v>2020</v>
      </c>
      <c r="BZ11">
        <v>1470600</v>
      </c>
      <c r="CA11">
        <v>619200</v>
      </c>
      <c r="CB11">
        <v>1470600</v>
      </c>
      <c r="CC11">
        <v>95</v>
      </c>
      <c r="CD11">
        <v>619200</v>
      </c>
      <c r="CE11">
        <v>40</v>
      </c>
      <c r="CF11">
        <v>1426482</v>
      </c>
      <c r="CG11">
        <v>92.15</v>
      </c>
      <c r="CH11">
        <v>588240</v>
      </c>
      <c r="CI11">
        <v>38</v>
      </c>
      <c r="CJ11" t="s">
        <v>222</v>
      </c>
      <c r="CL11">
        <v>1383688</v>
      </c>
      <c r="CM11">
        <v>89.39</v>
      </c>
      <c r="CN11">
        <v>558828</v>
      </c>
      <c r="CO11">
        <v>36.1</v>
      </c>
      <c r="CP11">
        <v>1858</v>
      </c>
      <c r="CQ11">
        <v>0.12</v>
      </c>
      <c r="CR11">
        <v>1342177</v>
      </c>
      <c r="CS11">
        <v>86.7</v>
      </c>
      <c r="CT11">
        <v>530887</v>
      </c>
      <c r="CU11">
        <v>34.3</v>
      </c>
      <c r="CV11">
        <v>1876</v>
      </c>
      <c r="CW11">
        <v>0.1212</v>
      </c>
      <c r="CY11">
        <v>139320</v>
      </c>
      <c r="CZ11">
        <v>9</v>
      </c>
      <c r="DA11">
        <v>144893</v>
      </c>
      <c r="DB11">
        <v>9.36</v>
      </c>
      <c r="DC11">
        <v>150689</v>
      </c>
      <c r="DD11">
        <v>9.73</v>
      </c>
      <c r="DE11">
        <v>164552</v>
      </c>
      <c r="DF11">
        <v>156716</v>
      </c>
      <c r="DG11">
        <v>10.12</v>
      </c>
      <c r="DH11">
        <v>169504</v>
      </c>
      <c r="DI11">
        <v>10.95</v>
      </c>
      <c r="DJ11">
        <v>35562</v>
      </c>
      <c r="DL11">
        <v>27864</v>
      </c>
      <c r="DM11">
        <v>1.8</v>
      </c>
      <c r="DN11">
        <v>29257</v>
      </c>
      <c r="DO11">
        <v>1.89</v>
      </c>
      <c r="DP11">
        <v>30720</v>
      </c>
      <c r="DQ11">
        <v>1.98</v>
      </c>
      <c r="DR11">
        <v>32256</v>
      </c>
      <c r="DS11">
        <v>2.08</v>
      </c>
      <c r="DT11">
        <v>0.05</v>
      </c>
      <c r="DU11">
        <v>92880</v>
      </c>
      <c r="DV11">
        <v>6</v>
      </c>
      <c r="DW11">
        <v>96595</v>
      </c>
      <c r="DX11">
        <v>6.24</v>
      </c>
      <c r="DY11">
        <v>100459</v>
      </c>
      <c r="DZ11">
        <v>6.49</v>
      </c>
      <c r="EA11">
        <v>0.04</v>
      </c>
      <c r="EB11">
        <v>104477</v>
      </c>
      <c r="EC11">
        <v>6.75</v>
      </c>
      <c r="ED11">
        <v>0.04</v>
      </c>
      <c r="EE11">
        <v>108360</v>
      </c>
      <c r="EF11">
        <v>13932</v>
      </c>
      <c r="EG11">
        <v>0.9</v>
      </c>
      <c r="EH11">
        <v>14350</v>
      </c>
      <c r="EI11">
        <v>0.93</v>
      </c>
      <c r="EJ11">
        <v>14780</v>
      </c>
      <c r="EK11">
        <v>0.95</v>
      </c>
      <c r="EL11">
        <v>15224</v>
      </c>
      <c r="EM11">
        <v>0.98</v>
      </c>
      <c r="EN11">
        <v>0.03</v>
      </c>
      <c r="EO11">
        <v>3870</v>
      </c>
      <c r="EP11" s="3">
        <v>43466</v>
      </c>
      <c r="EQ11" t="s">
        <v>205</v>
      </c>
      <c r="ER11" t="s">
        <v>229</v>
      </c>
      <c r="ES11" s="3">
        <v>47118</v>
      </c>
      <c r="ET11" t="s">
        <v>230</v>
      </c>
      <c r="EU11" t="s">
        <v>220</v>
      </c>
      <c r="EV11" t="s">
        <v>231</v>
      </c>
      <c r="EW11" s="3">
        <v>46752</v>
      </c>
      <c r="EX11">
        <v>86</v>
      </c>
      <c r="EY11">
        <v>65016000</v>
      </c>
      <c r="EZ11">
        <v>1470600</v>
      </c>
      <c r="FA11" t="s">
        <v>258</v>
      </c>
      <c r="FB11">
        <v>2003</v>
      </c>
      <c r="FE11">
        <v>16099</v>
      </c>
      <c r="FF11">
        <v>40248</v>
      </c>
      <c r="FG11">
        <v>15480</v>
      </c>
      <c r="FH11">
        <v>5418</v>
      </c>
      <c r="FI11">
        <v>8514</v>
      </c>
      <c r="FJ11">
        <v>464</v>
      </c>
      <c r="FK11">
        <v>155</v>
      </c>
      <c r="FL11">
        <v>124</v>
      </c>
      <c r="FM11">
        <v>697</v>
      </c>
      <c r="FN11">
        <v>25</v>
      </c>
      <c r="FO11">
        <v>12.5</v>
      </c>
      <c r="FP11">
        <v>62</v>
      </c>
      <c r="FQ11">
        <v>17</v>
      </c>
      <c r="FR11">
        <v>14</v>
      </c>
      <c r="FT11" t="s">
        <v>235</v>
      </c>
      <c r="FV11">
        <v>3</v>
      </c>
      <c r="FW11" t="s">
        <v>236</v>
      </c>
      <c r="FY11" t="s">
        <v>237</v>
      </c>
      <c r="FZ11" t="s">
        <v>222</v>
      </c>
      <c r="GA11" s="3">
        <v>46157</v>
      </c>
      <c r="GC11" t="s">
        <v>238</v>
      </c>
    </row>
    <row r="12" spans="1:185" x14ac:dyDescent="0.25">
      <c r="A12" t="s">
        <v>349</v>
      </c>
      <c r="B12" t="s">
        <v>350</v>
      </c>
      <c r="C12" t="s">
        <v>351</v>
      </c>
      <c r="D12" t="s">
        <v>352</v>
      </c>
      <c r="E12">
        <v>9</v>
      </c>
      <c r="F12" t="s">
        <v>353</v>
      </c>
      <c r="G12" t="s">
        <v>192</v>
      </c>
      <c r="H12" t="s">
        <v>193</v>
      </c>
      <c r="I12" t="s">
        <v>354</v>
      </c>
      <c r="J12" t="s">
        <v>195</v>
      </c>
      <c r="K12" t="s">
        <v>196</v>
      </c>
      <c r="L12" t="s">
        <v>197</v>
      </c>
      <c r="M12" t="s">
        <v>355</v>
      </c>
      <c r="N12" t="s">
        <v>199</v>
      </c>
      <c r="O12" t="s">
        <v>200</v>
      </c>
      <c r="P12" t="s">
        <v>201</v>
      </c>
      <c r="Q12" t="s">
        <v>202</v>
      </c>
      <c r="R12" t="s">
        <v>203</v>
      </c>
      <c r="S12" t="s">
        <v>204</v>
      </c>
      <c r="T12" t="s">
        <v>205</v>
      </c>
      <c r="U12" t="s">
        <v>267</v>
      </c>
      <c r="W12" t="s">
        <v>356</v>
      </c>
      <c r="X12" t="s">
        <v>357</v>
      </c>
      <c r="Y12" t="s">
        <v>358</v>
      </c>
      <c r="Z12">
        <v>45.325</v>
      </c>
      <c r="AA12">
        <v>5.565</v>
      </c>
      <c r="AB12" t="s">
        <v>211</v>
      </c>
      <c r="AC12" t="s">
        <v>212</v>
      </c>
      <c r="AD12" t="s">
        <v>213</v>
      </c>
      <c r="AE12" t="s">
        <v>214</v>
      </c>
      <c r="AF12">
        <v>39</v>
      </c>
      <c r="AG12" t="s">
        <v>205</v>
      </c>
      <c r="AH12" t="s">
        <v>359</v>
      </c>
      <c r="AI12" t="s">
        <v>360</v>
      </c>
      <c r="AJ12" s="3">
        <v>39873</v>
      </c>
      <c r="AK12" s="3">
        <v>41640</v>
      </c>
      <c r="AL12" s="3">
        <v>44378</v>
      </c>
      <c r="AM12" t="s">
        <v>218</v>
      </c>
      <c r="AN12" t="s">
        <v>219</v>
      </c>
      <c r="AO12" s="3">
        <v>48213</v>
      </c>
      <c r="AP12" s="3">
        <v>47299</v>
      </c>
      <c r="AQ12" t="s">
        <v>220</v>
      </c>
      <c r="AR12" s="3">
        <v>47118</v>
      </c>
      <c r="AS12" s="3">
        <v>46934</v>
      </c>
      <c r="AT12" t="s">
        <v>221</v>
      </c>
      <c r="AV12" t="s">
        <v>222</v>
      </c>
      <c r="AW12">
        <v>1331200</v>
      </c>
      <c r="AX12">
        <v>1371136</v>
      </c>
      <c r="AY12">
        <v>53.56</v>
      </c>
      <c r="AZ12">
        <v>1412270</v>
      </c>
      <c r="BA12">
        <v>55.17</v>
      </c>
      <c r="BB12">
        <v>0.03</v>
      </c>
      <c r="BC12">
        <v>1454638</v>
      </c>
      <c r="BD12">
        <v>56.82</v>
      </c>
      <c r="BE12">
        <v>0.03</v>
      </c>
      <c r="BF12">
        <v>1498277</v>
      </c>
      <c r="BG12">
        <v>58.53</v>
      </c>
      <c r="BH12">
        <v>0.03</v>
      </c>
      <c r="BI12">
        <v>1498277</v>
      </c>
      <c r="BJ12">
        <v>120000</v>
      </c>
      <c r="BK12">
        <v>3</v>
      </c>
      <c r="BM12">
        <v>48.5</v>
      </c>
      <c r="BN12">
        <v>52</v>
      </c>
      <c r="BO12" t="s">
        <v>223</v>
      </c>
      <c r="BP12" t="s">
        <v>224</v>
      </c>
      <c r="BQ12">
        <v>0.045</v>
      </c>
      <c r="BR12">
        <v>140</v>
      </c>
      <c r="BT12" t="s">
        <v>225</v>
      </c>
      <c r="BU12" t="s">
        <v>226</v>
      </c>
      <c r="BY12">
        <v>2020</v>
      </c>
      <c r="BZ12">
        <v>2432000</v>
      </c>
      <c r="CA12">
        <v>1024000</v>
      </c>
      <c r="CB12">
        <v>2432000</v>
      </c>
      <c r="CC12">
        <v>95</v>
      </c>
      <c r="CD12">
        <v>1024000</v>
      </c>
      <c r="CE12">
        <v>40</v>
      </c>
      <c r="CF12">
        <v>2359040</v>
      </c>
      <c r="CG12">
        <v>92.15</v>
      </c>
      <c r="CH12">
        <v>972800</v>
      </c>
      <c r="CI12">
        <v>38</v>
      </c>
      <c r="CJ12" t="s">
        <v>222</v>
      </c>
      <c r="CL12">
        <v>2288269</v>
      </c>
      <c r="CM12">
        <v>89.39</v>
      </c>
      <c r="CN12">
        <v>924160</v>
      </c>
      <c r="CO12">
        <v>36.1</v>
      </c>
      <c r="CP12">
        <v>3072</v>
      </c>
      <c r="CQ12">
        <v>0.12</v>
      </c>
      <c r="CR12">
        <v>2219621</v>
      </c>
      <c r="CS12">
        <v>86.7</v>
      </c>
      <c r="CT12">
        <v>877952</v>
      </c>
      <c r="CU12">
        <v>34.3</v>
      </c>
      <c r="CV12">
        <v>3103</v>
      </c>
      <c r="CW12">
        <v>0.1212</v>
      </c>
      <c r="CY12">
        <v>230400</v>
      </c>
      <c r="CZ12">
        <v>9</v>
      </c>
      <c r="DA12">
        <v>239616</v>
      </c>
      <c r="DB12">
        <v>9.36</v>
      </c>
      <c r="DC12">
        <v>249201</v>
      </c>
      <c r="DD12">
        <v>9.73</v>
      </c>
      <c r="DE12">
        <v>272127</v>
      </c>
      <c r="DF12">
        <v>259169</v>
      </c>
      <c r="DG12">
        <v>10.12</v>
      </c>
      <c r="DH12">
        <v>280317</v>
      </c>
      <c r="DI12">
        <v>10.95</v>
      </c>
      <c r="DJ12">
        <v>58811</v>
      </c>
      <c r="DL12">
        <v>46080</v>
      </c>
      <c r="DM12">
        <v>1.8</v>
      </c>
      <c r="DN12">
        <v>48384</v>
      </c>
      <c r="DO12">
        <v>1.89</v>
      </c>
      <c r="DP12">
        <v>50803</v>
      </c>
      <c r="DQ12">
        <v>1.98</v>
      </c>
      <c r="DR12">
        <v>53343</v>
      </c>
      <c r="DS12">
        <v>2.08</v>
      </c>
      <c r="DT12">
        <v>0.05</v>
      </c>
      <c r="DU12">
        <v>153600</v>
      </c>
      <c r="DV12">
        <v>6</v>
      </c>
      <c r="DW12">
        <v>159744</v>
      </c>
      <c r="DX12">
        <v>6.24</v>
      </c>
      <c r="DY12">
        <v>166134</v>
      </c>
      <c r="DZ12">
        <v>6.49</v>
      </c>
      <c r="EA12">
        <v>0.04</v>
      </c>
      <c r="EB12">
        <v>172779</v>
      </c>
      <c r="EC12">
        <v>6.75</v>
      </c>
      <c r="ED12">
        <v>0.04</v>
      </c>
      <c r="EE12">
        <v>179200</v>
      </c>
      <c r="EP12" s="3">
        <v>43466</v>
      </c>
      <c r="EQ12" t="s">
        <v>205</v>
      </c>
      <c r="ER12" t="s">
        <v>229</v>
      </c>
      <c r="ES12" s="3">
        <v>47118</v>
      </c>
      <c r="ET12" t="s">
        <v>230</v>
      </c>
      <c r="EU12" t="s">
        <v>220</v>
      </c>
      <c r="EV12" t="s">
        <v>231</v>
      </c>
      <c r="EW12" s="3">
        <v>46752</v>
      </c>
      <c r="EX12">
        <v>142</v>
      </c>
      <c r="EY12">
        <v>107520000</v>
      </c>
      <c r="EZ12">
        <v>2432000</v>
      </c>
      <c r="FA12" t="s">
        <v>232</v>
      </c>
      <c r="FB12">
        <v>2004</v>
      </c>
      <c r="FE12">
        <v>26624</v>
      </c>
      <c r="FF12">
        <v>66560</v>
      </c>
      <c r="FG12">
        <v>25600</v>
      </c>
      <c r="FH12">
        <v>8960</v>
      </c>
      <c r="FI12">
        <v>14080</v>
      </c>
      <c r="FJ12">
        <v>768</v>
      </c>
      <c r="FK12">
        <v>256</v>
      </c>
      <c r="FL12">
        <v>205</v>
      </c>
      <c r="FM12">
        <v>1152</v>
      </c>
      <c r="FN12">
        <v>25</v>
      </c>
      <c r="FO12">
        <v>12.5</v>
      </c>
      <c r="FP12">
        <v>102</v>
      </c>
      <c r="FQ12">
        <v>28</v>
      </c>
      <c r="FR12">
        <v>23</v>
      </c>
      <c r="FS12">
        <v>25984</v>
      </c>
      <c r="FT12" t="s">
        <v>235</v>
      </c>
      <c r="FV12">
        <v>4</v>
      </c>
      <c r="FW12" t="s">
        <v>236</v>
      </c>
      <c r="FY12" t="s">
        <v>237</v>
      </c>
      <c r="FZ12" t="s">
        <v>222</v>
      </c>
      <c r="GA12" s="3">
        <v>46157</v>
      </c>
      <c r="GC12" t="s">
        <v>238</v>
      </c>
    </row>
    <row r="14" spans="1:185" x14ac:dyDescent="0.25">
      <c r="A14" t="s">
        <v>361</v>
      </c>
      <c r="B14" t="s">
        <v>362</v>
      </c>
      <c r="C14" t="s">
        <v>363</v>
      </c>
      <c r="D14" t="s">
        <v>364</v>
      </c>
      <c r="E14">
        <v>10</v>
      </c>
      <c r="F14" t="s">
        <v>365</v>
      </c>
      <c r="G14" t="s">
        <v>244</v>
      </c>
      <c r="H14" t="s">
        <v>193</v>
      </c>
      <c r="I14" t="s">
        <v>366</v>
      </c>
      <c r="J14" t="s">
        <v>195</v>
      </c>
      <c r="K14" t="s">
        <v>196</v>
      </c>
      <c r="L14" t="s">
        <v>197</v>
      </c>
      <c r="M14" t="s">
        <v>367</v>
      </c>
      <c r="N14" t="s">
        <v>199</v>
      </c>
      <c r="O14" t="s">
        <v>200</v>
      </c>
      <c r="P14" t="s">
        <v>201</v>
      </c>
      <c r="Q14" t="s">
        <v>202</v>
      </c>
      <c r="R14" t="s">
        <v>203</v>
      </c>
      <c r="S14" t="s">
        <v>204</v>
      </c>
      <c r="T14" t="s">
        <v>205</v>
      </c>
      <c r="U14" t="s">
        <v>206</v>
      </c>
      <c r="V14" t="s">
        <v>207</v>
      </c>
      <c r="W14" t="s">
        <v>368</v>
      </c>
      <c r="X14" t="s">
        <v>369</v>
      </c>
      <c r="Y14" t="s">
        <v>370</v>
      </c>
      <c r="Z14">
        <v>47.288</v>
      </c>
      <c r="AA14">
        <v>5.064</v>
      </c>
      <c r="AB14" t="s">
        <v>250</v>
      </c>
      <c r="AC14" t="s">
        <v>251</v>
      </c>
      <c r="AD14" t="s">
        <v>213</v>
      </c>
      <c r="AE14" t="s">
        <v>214</v>
      </c>
      <c r="AF14">
        <v>40</v>
      </c>
      <c r="AG14" t="s">
        <v>205</v>
      </c>
      <c r="AH14" t="s">
        <v>371</v>
      </c>
      <c r="AI14" t="s">
        <v>372</v>
      </c>
      <c r="AJ14" s="3">
        <v>40238</v>
      </c>
      <c r="AK14" s="3">
        <v>41640</v>
      </c>
      <c r="AL14" s="3">
        <v>44378</v>
      </c>
      <c r="AM14" t="s">
        <v>218</v>
      </c>
      <c r="AN14" t="s">
        <v>219</v>
      </c>
      <c r="AO14" s="3">
        <v>48213</v>
      </c>
      <c r="AP14" s="3">
        <v>47664</v>
      </c>
      <c r="AQ14" t="s">
        <v>220</v>
      </c>
      <c r="AR14" s="3">
        <v>47483</v>
      </c>
      <c r="AS14" s="3">
        <v>47299</v>
      </c>
      <c r="AT14" t="s">
        <v>221</v>
      </c>
      <c r="AV14" t="s">
        <v>222</v>
      </c>
      <c r="AW14">
        <v>663000</v>
      </c>
      <c r="AX14">
        <v>682890</v>
      </c>
      <c r="AY14">
        <v>53.56</v>
      </c>
      <c r="AZ14">
        <v>703377</v>
      </c>
      <c r="BA14">
        <v>55.17</v>
      </c>
      <c r="BB14">
        <v>0.03</v>
      </c>
      <c r="BC14">
        <v>724478</v>
      </c>
      <c r="BD14">
        <v>56.82</v>
      </c>
      <c r="BE14">
        <v>0.03</v>
      </c>
      <c r="BF14">
        <v>746212</v>
      </c>
      <c r="BG14">
        <v>58.53</v>
      </c>
      <c r="BH14">
        <v>0.03</v>
      </c>
      <c r="BI14">
        <v>746212</v>
      </c>
      <c r="BJ14">
        <v>120000</v>
      </c>
      <c r="BK14">
        <v>3</v>
      </c>
      <c r="BM14">
        <v>48.5</v>
      </c>
      <c r="BN14">
        <v>52</v>
      </c>
      <c r="BO14" t="s">
        <v>223</v>
      </c>
      <c r="BP14" t="s">
        <v>224</v>
      </c>
      <c r="BQ14">
        <v>0.045</v>
      </c>
      <c r="BR14">
        <v>140</v>
      </c>
      <c r="BT14" t="s">
        <v>225</v>
      </c>
      <c r="BU14" t="s">
        <v>226</v>
      </c>
      <c r="BY14">
        <v>2020</v>
      </c>
      <c r="BZ14">
        <v>1211250</v>
      </c>
      <c r="CA14">
        <v>510000</v>
      </c>
      <c r="CB14">
        <v>1211250</v>
      </c>
      <c r="CC14">
        <v>95</v>
      </c>
      <c r="CD14">
        <v>510000</v>
      </c>
      <c r="CE14">
        <v>40</v>
      </c>
      <c r="CF14">
        <v>1174913</v>
      </c>
      <c r="CG14">
        <v>92.15</v>
      </c>
      <c r="CH14">
        <v>484500</v>
      </c>
      <c r="CI14">
        <v>38</v>
      </c>
      <c r="CJ14" t="s">
        <v>222</v>
      </c>
      <c r="CL14">
        <v>1139665</v>
      </c>
      <c r="CM14">
        <v>89.39</v>
      </c>
      <c r="CN14">
        <v>460275</v>
      </c>
      <c r="CO14">
        <v>36.1</v>
      </c>
      <c r="CP14">
        <v>1530</v>
      </c>
      <c r="CQ14">
        <v>0.12</v>
      </c>
      <c r="CR14">
        <v>1105475</v>
      </c>
      <c r="CS14">
        <v>86.7</v>
      </c>
      <c r="CT14">
        <v>437261</v>
      </c>
      <c r="CU14">
        <v>34.29</v>
      </c>
      <c r="CV14">
        <v>1545</v>
      </c>
      <c r="CW14">
        <v>0.1212</v>
      </c>
      <c r="CY14">
        <v>114750</v>
      </c>
      <c r="CZ14">
        <v>9</v>
      </c>
      <c r="DA14">
        <v>119340</v>
      </c>
      <c r="DB14">
        <v>9.36</v>
      </c>
      <c r="DC14">
        <v>124114</v>
      </c>
      <c r="DD14">
        <v>9.73</v>
      </c>
      <c r="DE14">
        <v>135532</v>
      </c>
      <c r="DF14">
        <v>129078</v>
      </c>
      <c r="DG14">
        <v>10.12</v>
      </c>
      <c r="DH14">
        <v>139611</v>
      </c>
      <c r="DI14">
        <v>10.95</v>
      </c>
      <c r="DJ14">
        <v>29291</v>
      </c>
      <c r="DL14">
        <v>22950</v>
      </c>
      <c r="DM14">
        <v>1.8</v>
      </c>
      <c r="DN14">
        <v>24098</v>
      </c>
      <c r="DO14">
        <v>1.89</v>
      </c>
      <c r="DP14">
        <v>25302</v>
      </c>
      <c r="DQ14">
        <v>1.98</v>
      </c>
      <c r="DR14">
        <v>26567</v>
      </c>
      <c r="DS14">
        <v>2.08</v>
      </c>
      <c r="DT14">
        <v>0.05</v>
      </c>
      <c r="DU14">
        <v>76500</v>
      </c>
      <c r="DV14">
        <v>6</v>
      </c>
      <c r="DW14">
        <v>79560</v>
      </c>
      <c r="DX14">
        <v>6.24</v>
      </c>
      <c r="DY14">
        <v>82742</v>
      </c>
      <c r="DZ14">
        <v>6.49</v>
      </c>
      <c r="EA14">
        <v>0.04</v>
      </c>
      <c r="EB14">
        <v>86052</v>
      </c>
      <c r="EC14">
        <v>6.75</v>
      </c>
      <c r="ED14">
        <v>0.04</v>
      </c>
      <c r="EE14">
        <v>89250</v>
      </c>
      <c r="EP14" s="3">
        <v>43466</v>
      </c>
      <c r="EQ14" t="s">
        <v>205</v>
      </c>
      <c r="ER14" t="s">
        <v>229</v>
      </c>
      <c r="ES14" s="3">
        <v>47118</v>
      </c>
      <c r="ET14" t="s">
        <v>230</v>
      </c>
      <c r="EU14" t="s">
        <v>220</v>
      </c>
      <c r="EV14" t="s">
        <v>231</v>
      </c>
      <c r="EW14" s="3">
        <v>46752</v>
      </c>
      <c r="EX14">
        <v>71</v>
      </c>
      <c r="EY14">
        <v>53550000</v>
      </c>
      <c r="EZ14">
        <v>1211250</v>
      </c>
      <c r="FA14" t="s">
        <v>258</v>
      </c>
      <c r="FB14">
        <v>2005</v>
      </c>
      <c r="FE14">
        <v>13260</v>
      </c>
      <c r="FF14">
        <v>33150</v>
      </c>
      <c r="FG14">
        <v>12750</v>
      </c>
      <c r="FH14">
        <v>4463</v>
      </c>
      <c r="FI14">
        <v>7013</v>
      </c>
      <c r="FJ14">
        <v>383</v>
      </c>
      <c r="FK14">
        <v>128</v>
      </c>
      <c r="FL14">
        <v>102</v>
      </c>
      <c r="FM14">
        <v>574</v>
      </c>
      <c r="FN14">
        <v>25</v>
      </c>
      <c r="FO14">
        <v>12.5</v>
      </c>
      <c r="FP14">
        <v>51</v>
      </c>
      <c r="FQ14">
        <v>14</v>
      </c>
      <c r="FR14">
        <v>12</v>
      </c>
      <c r="FT14" t="s">
        <v>235</v>
      </c>
      <c r="FV14">
        <v>2</v>
      </c>
      <c r="FW14" t="s">
        <v>236</v>
      </c>
      <c r="FY14" t="s">
        <v>237</v>
      </c>
      <c r="FZ14" t="s">
        <v>222</v>
      </c>
      <c r="GA14" s="3">
        <v>46157</v>
      </c>
      <c r="GC14" t="s">
        <v>238</v>
      </c>
    </row>
    <row r="15" spans="1:185" x14ac:dyDescent="0.25">
      <c r="A15" t="s">
        <v>373</v>
      </c>
      <c r="B15" t="s">
        <v>374</v>
      </c>
      <c r="C15" t="s">
        <v>375</v>
      </c>
      <c r="D15" t="s">
        <v>376</v>
      </c>
      <c r="E15">
        <v>11</v>
      </c>
      <c r="F15" t="s">
        <v>377</v>
      </c>
      <c r="G15" t="s">
        <v>192</v>
      </c>
      <c r="H15" t="s">
        <v>193</v>
      </c>
      <c r="I15" t="s">
        <v>378</v>
      </c>
      <c r="J15" t="s">
        <v>195</v>
      </c>
      <c r="K15" t="s">
        <v>196</v>
      </c>
      <c r="L15" t="s">
        <v>197</v>
      </c>
      <c r="M15" t="s">
        <v>379</v>
      </c>
      <c r="N15" t="s">
        <v>199</v>
      </c>
      <c r="O15" t="s">
        <v>200</v>
      </c>
      <c r="P15" t="s">
        <v>201</v>
      </c>
      <c r="Q15" t="s">
        <v>202</v>
      </c>
      <c r="R15" t="s">
        <v>203</v>
      </c>
      <c r="S15" t="s">
        <v>204</v>
      </c>
      <c r="T15" t="s">
        <v>205</v>
      </c>
      <c r="U15" t="s">
        <v>206</v>
      </c>
      <c r="V15" t="s">
        <v>207</v>
      </c>
      <c r="W15" t="s">
        <v>380</v>
      </c>
      <c r="X15" t="s">
        <v>381</v>
      </c>
      <c r="Y15" t="s">
        <v>382</v>
      </c>
      <c r="Z15">
        <v>47.298</v>
      </c>
      <c r="AA15">
        <v>-1.492</v>
      </c>
      <c r="AB15" t="s">
        <v>211</v>
      </c>
      <c r="AC15" t="s">
        <v>212</v>
      </c>
      <c r="AD15" t="s">
        <v>213</v>
      </c>
      <c r="AE15" t="s">
        <v>214</v>
      </c>
      <c r="AF15">
        <v>41</v>
      </c>
      <c r="AG15" t="s">
        <v>205</v>
      </c>
      <c r="AH15" t="s">
        <v>383</v>
      </c>
      <c r="AI15" t="s">
        <v>384</v>
      </c>
      <c r="AJ15" s="3">
        <v>40603</v>
      </c>
      <c r="AK15" s="3">
        <v>41640</v>
      </c>
      <c r="AL15" s="3">
        <v>44378</v>
      </c>
      <c r="AM15" t="s">
        <v>218</v>
      </c>
      <c r="AN15" t="s">
        <v>219</v>
      </c>
      <c r="AO15" s="3">
        <v>48213</v>
      </c>
      <c r="AP15" s="3">
        <v>48029</v>
      </c>
      <c r="AQ15" t="s">
        <v>385</v>
      </c>
      <c r="AR15" s="3">
        <v>47848</v>
      </c>
      <c r="AS15" s="3">
        <v>47664</v>
      </c>
      <c r="AT15" t="s">
        <v>221</v>
      </c>
      <c r="AV15" t="s">
        <v>222</v>
      </c>
      <c r="AW15">
        <v>1357200</v>
      </c>
      <c r="AX15">
        <v>1397916</v>
      </c>
      <c r="AY15">
        <v>53.56</v>
      </c>
      <c r="AZ15">
        <v>1439853</v>
      </c>
      <c r="BA15">
        <v>55.17</v>
      </c>
      <c r="BB15">
        <v>0.03</v>
      </c>
      <c r="BC15">
        <v>1483049</v>
      </c>
      <c r="BD15">
        <v>56.82</v>
      </c>
      <c r="BE15">
        <v>0.03</v>
      </c>
      <c r="BF15">
        <v>1527541</v>
      </c>
      <c r="BG15">
        <v>58.53</v>
      </c>
      <c r="BH15">
        <v>0.03</v>
      </c>
      <c r="BI15">
        <v>1527541</v>
      </c>
      <c r="BJ15">
        <v>120000</v>
      </c>
      <c r="BK15">
        <v>3</v>
      </c>
      <c r="BM15">
        <v>48.5</v>
      </c>
      <c r="BN15">
        <v>52</v>
      </c>
      <c r="BO15" t="s">
        <v>223</v>
      </c>
      <c r="BP15" t="s">
        <v>224</v>
      </c>
      <c r="BQ15">
        <v>0.045</v>
      </c>
      <c r="BR15">
        <v>140</v>
      </c>
      <c r="BT15" t="s">
        <v>225</v>
      </c>
      <c r="BU15" t="s">
        <v>226</v>
      </c>
      <c r="BY15">
        <v>2020</v>
      </c>
      <c r="BZ15">
        <v>2479500</v>
      </c>
      <c r="CA15">
        <v>1044000</v>
      </c>
      <c r="CB15">
        <v>2479500</v>
      </c>
      <c r="CC15">
        <v>95</v>
      </c>
      <c r="CD15">
        <v>1044000</v>
      </c>
      <c r="CE15">
        <v>40</v>
      </c>
      <c r="CF15">
        <v>2405115</v>
      </c>
      <c r="CG15">
        <v>92.15</v>
      </c>
      <c r="CH15">
        <v>991800</v>
      </c>
      <c r="CI15">
        <v>38</v>
      </c>
      <c r="CJ15" t="s">
        <v>222</v>
      </c>
      <c r="CL15">
        <v>2332962</v>
      </c>
      <c r="CM15">
        <v>89.39</v>
      </c>
      <c r="CN15">
        <v>942210</v>
      </c>
      <c r="CO15">
        <v>36.1</v>
      </c>
      <c r="CP15">
        <v>3132</v>
      </c>
      <c r="CQ15">
        <v>0.12</v>
      </c>
      <c r="CR15">
        <v>2262973</v>
      </c>
      <c r="CS15">
        <v>86.7</v>
      </c>
      <c r="CT15">
        <v>895099</v>
      </c>
      <c r="CU15">
        <v>34.29</v>
      </c>
      <c r="CV15">
        <v>3163</v>
      </c>
      <c r="CW15">
        <v>0.1212</v>
      </c>
      <c r="CY15">
        <v>234900</v>
      </c>
      <c r="CZ15">
        <v>9</v>
      </c>
      <c r="DA15">
        <v>244296</v>
      </c>
      <c r="DB15">
        <v>9.36</v>
      </c>
      <c r="DC15">
        <v>254068</v>
      </c>
      <c r="DD15">
        <v>9.73</v>
      </c>
      <c r="DE15">
        <v>277443</v>
      </c>
      <c r="DF15">
        <v>264231</v>
      </c>
      <c r="DG15">
        <v>10.12</v>
      </c>
      <c r="DH15">
        <v>285792</v>
      </c>
      <c r="DI15">
        <v>10.95</v>
      </c>
      <c r="DJ15">
        <v>59960</v>
      </c>
      <c r="DL15">
        <v>46980</v>
      </c>
      <c r="DM15">
        <v>1.8</v>
      </c>
      <c r="DN15">
        <v>49329</v>
      </c>
      <c r="DO15">
        <v>1.89</v>
      </c>
      <c r="DP15">
        <v>51795</v>
      </c>
      <c r="DQ15">
        <v>1.98</v>
      </c>
      <c r="DR15">
        <v>54385</v>
      </c>
      <c r="DS15">
        <v>2.08</v>
      </c>
      <c r="DT15">
        <v>0.05</v>
      </c>
      <c r="DU15">
        <v>156600</v>
      </c>
      <c r="DV15">
        <v>6</v>
      </c>
      <c r="DW15">
        <v>162864</v>
      </c>
      <c r="DX15">
        <v>6.24</v>
      </c>
      <c r="DY15">
        <v>169379</v>
      </c>
      <c r="DZ15">
        <v>6.49</v>
      </c>
      <c r="EA15">
        <v>0.04</v>
      </c>
      <c r="EB15">
        <v>176154</v>
      </c>
      <c r="EC15">
        <v>6.75</v>
      </c>
      <c r="ED15">
        <v>0.04</v>
      </c>
      <c r="EE15">
        <v>182700</v>
      </c>
      <c r="EP15" s="3">
        <v>43466</v>
      </c>
      <c r="EQ15" t="s">
        <v>205</v>
      </c>
      <c r="ER15" t="s">
        <v>229</v>
      </c>
      <c r="ES15" s="3">
        <v>47118</v>
      </c>
      <c r="ET15" t="s">
        <v>230</v>
      </c>
      <c r="EU15" t="s">
        <v>220</v>
      </c>
      <c r="EV15" t="s">
        <v>231</v>
      </c>
      <c r="EW15" s="3">
        <v>46752</v>
      </c>
      <c r="EX15">
        <v>145</v>
      </c>
      <c r="EY15">
        <v>109620000</v>
      </c>
      <c r="EZ15">
        <v>2479500</v>
      </c>
      <c r="FA15" t="s">
        <v>232</v>
      </c>
      <c r="FB15">
        <v>2006</v>
      </c>
      <c r="FE15">
        <v>27144</v>
      </c>
      <c r="FF15">
        <v>67860</v>
      </c>
      <c r="FG15">
        <v>26100</v>
      </c>
      <c r="FH15">
        <v>9135</v>
      </c>
      <c r="FI15">
        <v>14355</v>
      </c>
      <c r="FJ15">
        <v>783</v>
      </c>
      <c r="FK15">
        <v>261</v>
      </c>
      <c r="FL15">
        <v>209</v>
      </c>
      <c r="FM15">
        <v>1175</v>
      </c>
      <c r="FN15">
        <v>25</v>
      </c>
      <c r="FO15">
        <v>12.5</v>
      </c>
      <c r="FP15">
        <v>104</v>
      </c>
      <c r="FQ15">
        <v>29</v>
      </c>
      <c r="FR15">
        <v>24</v>
      </c>
      <c r="FT15" t="s">
        <v>235</v>
      </c>
      <c r="FV15">
        <v>4</v>
      </c>
      <c r="FW15" t="s">
        <v>236</v>
      </c>
      <c r="FY15" t="s">
        <v>237</v>
      </c>
      <c r="FZ15" t="s">
        <v>222</v>
      </c>
      <c r="GA15" s="3">
        <v>46157</v>
      </c>
      <c r="GC15" t="s">
        <v>238</v>
      </c>
    </row>
    <row r="16" spans="1:185" x14ac:dyDescent="0.25">
      <c r="A16" t="s">
        <v>386</v>
      </c>
      <c r="B16" t="s">
        <v>387</v>
      </c>
      <c r="C16" t="s">
        <v>388</v>
      </c>
      <c r="D16" t="s">
        <v>389</v>
      </c>
      <c r="E16">
        <v>12</v>
      </c>
      <c r="F16" t="s">
        <v>390</v>
      </c>
      <c r="G16" t="s">
        <v>244</v>
      </c>
      <c r="H16" t="s">
        <v>193</v>
      </c>
      <c r="I16" t="s">
        <v>391</v>
      </c>
      <c r="J16" t="s">
        <v>195</v>
      </c>
      <c r="K16" t="s">
        <v>196</v>
      </c>
      <c r="L16" t="s">
        <v>197</v>
      </c>
      <c r="M16" t="s">
        <v>392</v>
      </c>
      <c r="N16" t="s">
        <v>199</v>
      </c>
      <c r="O16" t="s">
        <v>200</v>
      </c>
      <c r="P16" t="s">
        <v>201</v>
      </c>
      <c r="Q16" t="s">
        <v>202</v>
      </c>
      <c r="R16" t="s">
        <v>203</v>
      </c>
      <c r="S16" t="s">
        <v>204</v>
      </c>
      <c r="T16" t="s">
        <v>205</v>
      </c>
      <c r="U16" t="s">
        <v>267</v>
      </c>
      <c r="W16" t="s">
        <v>393</v>
      </c>
      <c r="X16" t="s">
        <v>394</v>
      </c>
      <c r="Y16" t="s">
        <v>395</v>
      </c>
      <c r="Z16">
        <v>48.747</v>
      </c>
      <c r="AA16">
        <v>2.349</v>
      </c>
      <c r="AB16" t="s">
        <v>250</v>
      </c>
      <c r="AC16" t="s">
        <v>251</v>
      </c>
      <c r="AD16" t="s">
        <v>213</v>
      </c>
      <c r="AE16" t="s">
        <v>214</v>
      </c>
      <c r="AF16">
        <v>42</v>
      </c>
      <c r="AG16" t="s">
        <v>205</v>
      </c>
      <c r="AH16" t="s">
        <v>396</v>
      </c>
      <c r="AI16" t="s">
        <v>397</v>
      </c>
      <c r="AJ16" s="3">
        <v>40969</v>
      </c>
      <c r="AK16" s="3">
        <v>41640</v>
      </c>
      <c r="AL16" s="3">
        <v>44378</v>
      </c>
      <c r="AM16" t="s">
        <v>218</v>
      </c>
      <c r="AN16" t="s">
        <v>219</v>
      </c>
      <c r="AO16" s="3">
        <v>48213</v>
      </c>
      <c r="AP16" s="3">
        <v>46934</v>
      </c>
      <c r="AQ16" t="s">
        <v>220</v>
      </c>
      <c r="AR16" s="3">
        <v>46752</v>
      </c>
      <c r="AS16" s="3">
        <v>46568</v>
      </c>
      <c r="AT16" t="s">
        <v>221</v>
      </c>
      <c r="AV16" t="s">
        <v>222</v>
      </c>
      <c r="AW16">
        <v>738400</v>
      </c>
      <c r="AX16">
        <v>760552</v>
      </c>
      <c r="AY16">
        <v>53.56</v>
      </c>
      <c r="AZ16">
        <v>783369</v>
      </c>
      <c r="BA16">
        <v>55.17</v>
      </c>
      <c r="BB16">
        <v>0.03</v>
      </c>
      <c r="BC16">
        <v>806870</v>
      </c>
      <c r="BD16">
        <v>56.82</v>
      </c>
      <c r="BE16">
        <v>0.03</v>
      </c>
      <c r="BF16">
        <v>831076</v>
      </c>
      <c r="BG16">
        <v>58.53</v>
      </c>
      <c r="BH16">
        <v>0.03</v>
      </c>
      <c r="BI16">
        <v>831076</v>
      </c>
      <c r="BJ16">
        <v>120000</v>
      </c>
      <c r="BK16">
        <v>3</v>
      </c>
      <c r="BM16">
        <v>48.5</v>
      </c>
      <c r="BN16">
        <v>52</v>
      </c>
      <c r="BO16" t="s">
        <v>223</v>
      </c>
      <c r="BP16" t="s">
        <v>224</v>
      </c>
      <c r="BQ16">
        <v>0.045</v>
      </c>
      <c r="BR16">
        <v>140</v>
      </c>
      <c r="BT16" t="s">
        <v>225</v>
      </c>
      <c r="BU16" t="s">
        <v>226</v>
      </c>
      <c r="BY16">
        <v>2020</v>
      </c>
      <c r="BZ16">
        <v>1349000</v>
      </c>
      <c r="CA16">
        <v>568000</v>
      </c>
      <c r="CB16">
        <v>1349000</v>
      </c>
      <c r="CC16">
        <v>95</v>
      </c>
      <c r="CD16">
        <v>568000</v>
      </c>
      <c r="CE16">
        <v>40</v>
      </c>
      <c r="CF16">
        <v>1308530</v>
      </c>
      <c r="CG16">
        <v>92.15</v>
      </c>
      <c r="CH16">
        <v>539600</v>
      </c>
      <c r="CI16">
        <v>38</v>
      </c>
      <c r="CJ16" t="s">
        <v>222</v>
      </c>
      <c r="CL16">
        <v>1269274</v>
      </c>
      <c r="CM16">
        <v>89.39</v>
      </c>
      <c r="CN16">
        <v>512620</v>
      </c>
      <c r="CO16">
        <v>36.1</v>
      </c>
      <c r="CP16">
        <v>1704</v>
      </c>
      <c r="CQ16">
        <v>0.12</v>
      </c>
      <c r="CR16">
        <v>1231196</v>
      </c>
      <c r="CS16">
        <v>86.7</v>
      </c>
      <c r="CT16">
        <v>486989</v>
      </c>
      <c r="CU16">
        <v>34.3</v>
      </c>
      <c r="CV16">
        <v>1721</v>
      </c>
      <c r="CW16">
        <v>0.1212</v>
      </c>
      <c r="CY16">
        <v>127800</v>
      </c>
      <c r="CZ16">
        <v>9</v>
      </c>
      <c r="DA16">
        <v>132912</v>
      </c>
      <c r="DB16">
        <v>9.36</v>
      </c>
      <c r="DC16">
        <v>138228</v>
      </c>
      <c r="DD16">
        <v>9.73</v>
      </c>
      <c r="DE16">
        <v>150946</v>
      </c>
      <c r="DF16">
        <v>143758</v>
      </c>
      <c r="DG16">
        <v>10.12</v>
      </c>
      <c r="DH16">
        <v>155488</v>
      </c>
      <c r="DI16">
        <v>10.95</v>
      </c>
      <c r="DJ16">
        <v>32622</v>
      </c>
      <c r="DL16">
        <v>25560</v>
      </c>
      <c r="DM16">
        <v>1.8</v>
      </c>
      <c r="DN16">
        <v>26838</v>
      </c>
      <c r="DO16">
        <v>1.89</v>
      </c>
      <c r="DP16">
        <v>28180</v>
      </c>
      <c r="DQ16">
        <v>1.98</v>
      </c>
      <c r="DR16">
        <v>29589</v>
      </c>
      <c r="DS16">
        <v>2.08</v>
      </c>
      <c r="DT16">
        <v>0.05</v>
      </c>
      <c r="DU16">
        <v>85200</v>
      </c>
      <c r="DV16">
        <v>6</v>
      </c>
      <c r="DW16">
        <v>88608</v>
      </c>
      <c r="DX16">
        <v>6.24</v>
      </c>
      <c r="DY16">
        <v>92152</v>
      </c>
      <c r="DZ16">
        <v>6.49</v>
      </c>
      <c r="EA16">
        <v>0.04</v>
      </c>
      <c r="EB16">
        <v>95838</v>
      </c>
      <c r="EC16">
        <v>6.75</v>
      </c>
      <c r="ED16">
        <v>0.04</v>
      </c>
      <c r="EE16">
        <v>99400</v>
      </c>
      <c r="EF16">
        <v>12780</v>
      </c>
      <c r="EG16">
        <v>0.9</v>
      </c>
      <c r="EH16">
        <v>13163</v>
      </c>
      <c r="EI16">
        <v>0.93</v>
      </c>
      <c r="EJ16">
        <v>13558</v>
      </c>
      <c r="EK16">
        <v>0.95</v>
      </c>
      <c r="EL16">
        <v>13965</v>
      </c>
      <c r="EM16">
        <v>0.98</v>
      </c>
      <c r="EN16">
        <v>0.03</v>
      </c>
      <c r="EO16">
        <v>3550</v>
      </c>
      <c r="EP16" s="3">
        <v>43466</v>
      </c>
      <c r="EQ16" t="s">
        <v>205</v>
      </c>
      <c r="ER16" t="s">
        <v>229</v>
      </c>
      <c r="ES16" s="3">
        <v>47118</v>
      </c>
      <c r="ET16" t="s">
        <v>230</v>
      </c>
      <c r="EU16" t="s">
        <v>220</v>
      </c>
      <c r="EV16" t="s">
        <v>231</v>
      </c>
      <c r="EW16" s="3">
        <v>46752</v>
      </c>
      <c r="EX16">
        <v>79</v>
      </c>
      <c r="EY16">
        <v>59640000</v>
      </c>
      <c r="EZ16">
        <v>1349000</v>
      </c>
      <c r="FA16" t="s">
        <v>258</v>
      </c>
      <c r="FB16">
        <v>2007</v>
      </c>
      <c r="FE16">
        <v>14768</v>
      </c>
      <c r="FF16">
        <v>36920</v>
      </c>
      <c r="FG16">
        <v>14200</v>
      </c>
      <c r="FH16">
        <v>4970</v>
      </c>
      <c r="FI16">
        <v>7810</v>
      </c>
      <c r="FJ16">
        <v>426</v>
      </c>
      <c r="FK16">
        <v>142</v>
      </c>
      <c r="FL16">
        <v>114</v>
      </c>
      <c r="FM16">
        <v>639</v>
      </c>
      <c r="FN16">
        <v>25</v>
      </c>
      <c r="FO16">
        <v>12.5</v>
      </c>
      <c r="FP16">
        <v>57</v>
      </c>
      <c r="FQ16">
        <v>16</v>
      </c>
      <c r="FR16">
        <v>13</v>
      </c>
      <c r="FS16">
        <v>14413</v>
      </c>
      <c r="FT16" t="s">
        <v>235</v>
      </c>
      <c r="FV16">
        <v>2</v>
      </c>
      <c r="FW16" t="s">
        <v>236</v>
      </c>
      <c r="FY16" t="s">
        <v>237</v>
      </c>
      <c r="FZ16" t="s">
        <v>222</v>
      </c>
      <c r="GA16" s="3">
        <v>46157</v>
      </c>
      <c r="GB16">
        <v>13663</v>
      </c>
      <c r="GC16" t="s">
        <v>238</v>
      </c>
    </row>
    <row r="17" spans="1:185" x14ac:dyDescent="0.25">
      <c r="A17" t="s">
        <v>260</v>
      </c>
      <c r="B17" t="s">
        <v>261</v>
      </c>
      <c r="C17" t="s">
        <v>262</v>
      </c>
      <c r="D17" t="s">
        <v>263</v>
      </c>
      <c r="E17">
        <v>3</v>
      </c>
      <c r="F17" t="s">
        <v>398</v>
      </c>
      <c r="G17" t="s">
        <v>192</v>
      </c>
      <c r="H17" t="s">
        <v>193</v>
      </c>
      <c r="I17" t="s">
        <v>265</v>
      </c>
      <c r="J17" t="s">
        <v>195</v>
      </c>
      <c r="K17" t="s">
        <v>196</v>
      </c>
      <c r="L17" t="s">
        <v>197</v>
      </c>
      <c r="M17" t="s">
        <v>266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205</v>
      </c>
      <c r="U17" t="s">
        <v>267</v>
      </c>
      <c r="W17" t="s">
        <v>268</v>
      </c>
      <c r="X17" t="s">
        <v>269</v>
      </c>
      <c r="Y17" t="s">
        <v>270</v>
      </c>
      <c r="Z17">
        <v>43.445</v>
      </c>
      <c r="AA17">
        <v>5.248</v>
      </c>
      <c r="AB17" t="s">
        <v>211</v>
      </c>
      <c r="AC17" t="s">
        <v>212</v>
      </c>
      <c r="AD17" t="s">
        <v>213</v>
      </c>
      <c r="AE17" t="s">
        <v>214</v>
      </c>
      <c r="AF17">
        <v>33</v>
      </c>
      <c r="AG17" t="s">
        <v>271</v>
      </c>
      <c r="AH17" t="s">
        <v>272</v>
      </c>
      <c r="AI17" t="s">
        <v>273</v>
      </c>
      <c r="AJ17" s="3">
        <v>37681</v>
      </c>
      <c r="AK17" s="3">
        <v>41640</v>
      </c>
      <c r="AL17" s="3">
        <v>44378</v>
      </c>
      <c r="AM17" t="s">
        <v>218</v>
      </c>
      <c r="AN17" t="s">
        <v>219</v>
      </c>
      <c r="AO17" s="3">
        <v>48213</v>
      </c>
      <c r="AP17" s="3">
        <v>48029</v>
      </c>
      <c r="AQ17" t="s">
        <v>220</v>
      </c>
      <c r="AR17" t="s">
        <v>274</v>
      </c>
      <c r="AS17" s="3">
        <v>47664</v>
      </c>
      <c r="AT17" t="s">
        <v>275</v>
      </c>
      <c r="AV17" t="s">
        <v>222</v>
      </c>
      <c r="AW17">
        <v>1428960</v>
      </c>
      <c r="AX17">
        <v>1471829</v>
      </c>
      <c r="AY17">
        <v>53.56</v>
      </c>
      <c r="AZ17">
        <v>1515984</v>
      </c>
      <c r="BA17">
        <v>55.17</v>
      </c>
      <c r="BB17">
        <v>0.03</v>
      </c>
      <c r="BC17">
        <v>1561463</v>
      </c>
      <c r="BD17">
        <v>56.82</v>
      </c>
      <c r="BE17">
        <v>0.03</v>
      </c>
      <c r="BF17">
        <v>1608307</v>
      </c>
      <c r="BG17">
        <v>58.53</v>
      </c>
      <c r="BH17">
        <v>0.03</v>
      </c>
      <c r="BI17">
        <v>1608307</v>
      </c>
      <c r="BJ17">
        <v>120000</v>
      </c>
      <c r="BK17">
        <v>3</v>
      </c>
      <c r="BM17">
        <v>48.5</v>
      </c>
      <c r="BN17" t="s">
        <v>276</v>
      </c>
      <c r="BO17" t="s">
        <v>223</v>
      </c>
      <c r="BP17" t="s">
        <v>224</v>
      </c>
      <c r="BQ17">
        <v>0.045</v>
      </c>
      <c r="BR17">
        <v>140</v>
      </c>
      <c r="BT17" t="s">
        <v>277</v>
      </c>
      <c r="BU17" t="s">
        <v>226</v>
      </c>
      <c r="BY17">
        <v>2020</v>
      </c>
      <c r="BZ17">
        <v>2610600</v>
      </c>
      <c r="CA17">
        <v>1099200</v>
      </c>
      <c r="CB17">
        <v>2610600</v>
      </c>
      <c r="CC17">
        <v>95</v>
      </c>
      <c r="CD17">
        <v>1099200</v>
      </c>
      <c r="CE17">
        <v>40</v>
      </c>
      <c r="CF17">
        <v>2532282</v>
      </c>
      <c r="CG17">
        <v>92.15</v>
      </c>
      <c r="CH17">
        <v>1044240</v>
      </c>
      <c r="CI17">
        <v>38</v>
      </c>
      <c r="CJ17" t="s">
        <v>222</v>
      </c>
      <c r="CL17">
        <v>2456314</v>
      </c>
      <c r="CM17">
        <v>89.39</v>
      </c>
      <c r="CN17">
        <v>992028</v>
      </c>
      <c r="CO17">
        <v>36.1</v>
      </c>
      <c r="CP17">
        <v>3298</v>
      </c>
      <c r="CQ17">
        <v>0.12</v>
      </c>
      <c r="CR17">
        <v>2382624</v>
      </c>
      <c r="CS17">
        <v>86.7</v>
      </c>
      <c r="CT17">
        <v>942427</v>
      </c>
      <c r="CU17">
        <v>34.3</v>
      </c>
      <c r="CV17">
        <v>3331</v>
      </c>
      <c r="CW17">
        <v>0.1212</v>
      </c>
      <c r="CY17">
        <v>247320</v>
      </c>
      <c r="CZ17">
        <v>9</v>
      </c>
      <c r="DA17">
        <v>257213</v>
      </c>
      <c r="DB17">
        <v>9.36</v>
      </c>
      <c r="DC17">
        <v>267501</v>
      </c>
      <c r="DD17">
        <v>9.73</v>
      </c>
      <c r="DE17">
        <v>292111</v>
      </c>
      <c r="DF17">
        <v>278201</v>
      </c>
      <c r="DG17">
        <v>10.12</v>
      </c>
      <c r="DH17">
        <v>300903</v>
      </c>
      <c r="DI17">
        <v>10.95</v>
      </c>
      <c r="DJ17">
        <v>63130</v>
      </c>
      <c r="DL17">
        <v>49464</v>
      </c>
      <c r="DM17">
        <v>1.8</v>
      </c>
      <c r="DN17">
        <v>51937</v>
      </c>
      <c r="DO17">
        <v>1.89</v>
      </c>
      <c r="DP17">
        <v>54534</v>
      </c>
      <c r="DQ17">
        <v>1.98</v>
      </c>
      <c r="DR17">
        <v>57261</v>
      </c>
      <c r="DS17">
        <v>2.08</v>
      </c>
      <c r="DT17">
        <v>0.05</v>
      </c>
      <c r="DU17">
        <v>164880</v>
      </c>
      <c r="DV17">
        <v>6</v>
      </c>
      <c r="DW17">
        <v>171475</v>
      </c>
      <c r="DX17">
        <v>6.24</v>
      </c>
      <c r="DY17">
        <v>178334</v>
      </c>
      <c r="DZ17">
        <v>6.49</v>
      </c>
      <c r="EA17">
        <v>0.04</v>
      </c>
      <c r="EB17">
        <v>185468</v>
      </c>
      <c r="EC17">
        <v>6.75</v>
      </c>
      <c r="ED17">
        <v>0.04</v>
      </c>
      <c r="EE17">
        <v>192360</v>
      </c>
      <c r="EP17" s="3">
        <v>43466</v>
      </c>
      <c r="EQ17" t="s">
        <v>205</v>
      </c>
      <c r="ER17" t="s">
        <v>229</v>
      </c>
      <c r="ES17" s="3">
        <v>47118</v>
      </c>
      <c r="ET17" t="s">
        <v>230</v>
      </c>
      <c r="EU17" t="s">
        <v>220</v>
      </c>
      <c r="EV17" t="s">
        <v>231</v>
      </c>
      <c r="EW17" s="3">
        <v>46752</v>
      </c>
      <c r="EX17">
        <v>153</v>
      </c>
      <c r="EY17">
        <v>115416000</v>
      </c>
      <c r="EZ17">
        <v>2610600</v>
      </c>
      <c r="FA17" t="s">
        <v>232</v>
      </c>
      <c r="FB17">
        <v>1998</v>
      </c>
      <c r="FE17">
        <v>28579</v>
      </c>
      <c r="FF17">
        <v>71448</v>
      </c>
      <c r="FG17">
        <v>27480</v>
      </c>
      <c r="FH17">
        <v>9618</v>
      </c>
      <c r="FI17">
        <v>15114</v>
      </c>
      <c r="FJ17">
        <v>824</v>
      </c>
      <c r="FK17">
        <v>275</v>
      </c>
      <c r="FL17">
        <v>220</v>
      </c>
      <c r="FM17">
        <v>1237</v>
      </c>
      <c r="FN17">
        <v>25</v>
      </c>
      <c r="FO17" t="s">
        <v>278</v>
      </c>
      <c r="FP17">
        <v>110</v>
      </c>
      <c r="FQ17">
        <v>31</v>
      </c>
      <c r="FR17">
        <v>25</v>
      </c>
      <c r="FS17">
        <v>27892</v>
      </c>
      <c r="FT17" t="s">
        <v>235</v>
      </c>
      <c r="FV17">
        <v>5</v>
      </c>
      <c r="FW17" t="s">
        <v>236</v>
      </c>
      <c r="FY17" t="s">
        <v>237</v>
      </c>
      <c r="FZ17" t="s">
        <v>222</v>
      </c>
      <c r="GA17" s="3">
        <v>46157</v>
      </c>
      <c r="GC17" t="s">
        <v>238</v>
      </c>
    </row>
    <row r="18" spans="1:185" x14ac:dyDescent="0.25">
      <c r="A18" t="s">
        <v>399</v>
      </c>
      <c r="B18" t="s">
        <v>400</v>
      </c>
      <c r="C18" t="s">
        <v>401</v>
      </c>
      <c r="D18" t="s">
        <v>402</v>
      </c>
      <c r="E18">
        <v>13</v>
      </c>
      <c r="F18" t="s">
        <v>403</v>
      </c>
      <c r="G18" t="s">
        <v>192</v>
      </c>
      <c r="H18" t="s">
        <v>193</v>
      </c>
      <c r="I18" t="s">
        <v>404</v>
      </c>
      <c r="J18" t="s">
        <v>195</v>
      </c>
      <c r="K18" t="s">
        <v>196</v>
      </c>
      <c r="L18" t="s">
        <v>197</v>
      </c>
      <c r="M18" t="s">
        <v>405</v>
      </c>
      <c r="N18" t="s">
        <v>199</v>
      </c>
      <c r="O18" t="s">
        <v>200</v>
      </c>
      <c r="P18" t="s">
        <v>201</v>
      </c>
      <c r="Q18" t="s">
        <v>202</v>
      </c>
      <c r="R18" t="s">
        <v>203</v>
      </c>
      <c r="S18" t="s">
        <v>204</v>
      </c>
      <c r="T18" t="s">
        <v>205</v>
      </c>
      <c r="U18" t="s">
        <v>206</v>
      </c>
      <c r="V18" t="s">
        <v>207</v>
      </c>
      <c r="W18" t="s">
        <v>406</v>
      </c>
      <c r="X18" t="s">
        <v>407</v>
      </c>
      <c r="Y18" t="s">
        <v>408</v>
      </c>
      <c r="Z18">
        <v>47.95</v>
      </c>
      <c r="AA18">
        <v>1.87</v>
      </c>
      <c r="AB18" t="s">
        <v>211</v>
      </c>
      <c r="AC18" t="s">
        <v>212</v>
      </c>
      <c r="AD18" t="s">
        <v>213</v>
      </c>
      <c r="AE18" t="s">
        <v>214</v>
      </c>
      <c r="AF18">
        <v>43</v>
      </c>
      <c r="AG18" t="s">
        <v>205</v>
      </c>
      <c r="AH18" t="s">
        <v>409</v>
      </c>
      <c r="AI18" t="s">
        <v>410</v>
      </c>
      <c r="AJ18" s="3">
        <v>41334</v>
      </c>
      <c r="AK18" s="3">
        <v>41640</v>
      </c>
      <c r="AL18" s="3">
        <v>44378</v>
      </c>
      <c r="AM18" t="s">
        <v>218</v>
      </c>
      <c r="AN18" t="s">
        <v>219</v>
      </c>
      <c r="AO18" s="3">
        <v>48213</v>
      </c>
      <c r="AP18" s="3">
        <v>47299</v>
      </c>
      <c r="AQ18" t="s">
        <v>411</v>
      </c>
      <c r="AR18" s="3">
        <v>47118</v>
      </c>
      <c r="AS18" s="3">
        <v>46934</v>
      </c>
      <c r="AT18" t="s">
        <v>221</v>
      </c>
      <c r="AV18" t="s">
        <v>222</v>
      </c>
      <c r="AW18">
        <v>1586000</v>
      </c>
      <c r="AX18">
        <v>1633580</v>
      </c>
      <c r="AY18">
        <v>53.56</v>
      </c>
      <c r="AZ18">
        <v>1682587</v>
      </c>
      <c r="BA18">
        <v>99.99</v>
      </c>
      <c r="BB18">
        <v>0.03</v>
      </c>
      <c r="BC18">
        <v>1733065</v>
      </c>
      <c r="BD18">
        <v>56.82</v>
      </c>
      <c r="BE18">
        <v>0.03</v>
      </c>
      <c r="BF18">
        <v>1785057</v>
      </c>
      <c r="BG18">
        <v>58.53</v>
      </c>
      <c r="BH18">
        <v>0.03</v>
      </c>
      <c r="BI18">
        <v>1785057</v>
      </c>
      <c r="BJ18">
        <v>120000</v>
      </c>
      <c r="BK18">
        <v>3</v>
      </c>
      <c r="BM18">
        <v>48.5</v>
      </c>
      <c r="BN18">
        <v>52</v>
      </c>
      <c r="BO18" t="s">
        <v>223</v>
      </c>
      <c r="BP18" t="s">
        <v>224</v>
      </c>
      <c r="BQ18">
        <v>0.045</v>
      </c>
      <c r="BR18">
        <v>140</v>
      </c>
      <c r="BT18" t="s">
        <v>225</v>
      </c>
      <c r="BU18" t="s">
        <v>226</v>
      </c>
      <c r="BY18">
        <v>2020</v>
      </c>
      <c r="BZ18">
        <v>2897500</v>
      </c>
      <c r="CA18">
        <v>1220000</v>
      </c>
      <c r="CB18">
        <v>2897500</v>
      </c>
      <c r="CC18">
        <v>95</v>
      </c>
      <c r="CD18">
        <v>1220000</v>
      </c>
      <c r="CE18">
        <v>40</v>
      </c>
      <c r="CF18">
        <v>2810575</v>
      </c>
      <c r="CG18">
        <v>92.15</v>
      </c>
      <c r="CH18">
        <v>1159000</v>
      </c>
      <c r="CI18">
        <v>38</v>
      </c>
      <c r="CJ18" t="s">
        <v>222</v>
      </c>
      <c r="CL18">
        <v>2726258</v>
      </c>
      <c r="CM18">
        <v>89.39</v>
      </c>
      <c r="CN18">
        <v>1101050</v>
      </c>
      <c r="CO18">
        <v>36.1</v>
      </c>
      <c r="CP18">
        <v>3660</v>
      </c>
      <c r="CQ18">
        <v>0.12</v>
      </c>
      <c r="CR18">
        <v>2644470</v>
      </c>
      <c r="CS18">
        <v>86.7</v>
      </c>
      <c r="CT18">
        <v>1045997</v>
      </c>
      <c r="CU18">
        <v>34.29</v>
      </c>
      <c r="CV18">
        <v>3697</v>
      </c>
      <c r="CW18">
        <v>0.1212</v>
      </c>
      <c r="CY18">
        <v>274500</v>
      </c>
      <c r="CZ18">
        <v>9</v>
      </c>
      <c r="DA18">
        <v>285480</v>
      </c>
      <c r="DB18">
        <v>9.36</v>
      </c>
      <c r="DC18">
        <v>296899</v>
      </c>
      <c r="DD18">
        <v>9.73</v>
      </c>
      <c r="DE18">
        <v>324214</v>
      </c>
      <c r="DF18">
        <v>308775</v>
      </c>
      <c r="DG18">
        <v>10.12</v>
      </c>
      <c r="DH18">
        <v>333971</v>
      </c>
      <c r="DI18">
        <v>10.95</v>
      </c>
      <c r="DJ18">
        <v>70068</v>
      </c>
      <c r="DL18">
        <v>54900</v>
      </c>
      <c r="DM18">
        <v>1.8</v>
      </c>
      <c r="DN18">
        <v>57645</v>
      </c>
      <c r="DO18">
        <v>1.89</v>
      </c>
      <c r="DP18">
        <v>60527</v>
      </c>
      <c r="DQ18">
        <v>1.98</v>
      </c>
      <c r="DR18">
        <v>63554</v>
      </c>
      <c r="DS18">
        <v>2.08</v>
      </c>
      <c r="DT18">
        <v>0.05</v>
      </c>
      <c r="DU18">
        <v>183000</v>
      </c>
      <c r="DV18">
        <v>6</v>
      </c>
      <c r="DW18">
        <v>190320</v>
      </c>
      <c r="DX18">
        <v>6.24</v>
      </c>
      <c r="DY18">
        <v>197933</v>
      </c>
      <c r="DZ18">
        <v>6.49</v>
      </c>
      <c r="EA18">
        <v>0.04</v>
      </c>
      <c r="EB18">
        <v>205850</v>
      </c>
      <c r="EC18">
        <v>6.75</v>
      </c>
      <c r="ED18">
        <v>0.04</v>
      </c>
      <c r="EE18">
        <v>213500</v>
      </c>
      <c r="EP18" s="3">
        <v>43466</v>
      </c>
      <c r="EQ18" t="s">
        <v>205</v>
      </c>
      <c r="ER18" t="s">
        <v>229</v>
      </c>
      <c r="ES18" s="3">
        <v>47118</v>
      </c>
      <c r="ET18" t="s">
        <v>230</v>
      </c>
      <c r="EU18" t="s">
        <v>220</v>
      </c>
      <c r="EV18" t="s">
        <v>231</v>
      </c>
      <c r="EW18" s="3">
        <v>46752</v>
      </c>
      <c r="EX18">
        <v>169</v>
      </c>
      <c r="EY18">
        <v>128100000</v>
      </c>
      <c r="EZ18">
        <v>2897500</v>
      </c>
      <c r="FA18" t="s">
        <v>232</v>
      </c>
      <c r="FB18">
        <v>2008</v>
      </c>
      <c r="FE18">
        <v>31720</v>
      </c>
      <c r="FF18">
        <v>79300</v>
      </c>
      <c r="FG18">
        <v>30500</v>
      </c>
      <c r="FH18">
        <v>10675</v>
      </c>
      <c r="FI18">
        <v>16775</v>
      </c>
      <c r="FJ18">
        <v>915</v>
      </c>
      <c r="FK18">
        <v>305</v>
      </c>
      <c r="FL18">
        <v>244</v>
      </c>
      <c r="FM18">
        <v>1373</v>
      </c>
      <c r="FN18">
        <v>25</v>
      </c>
      <c r="FO18">
        <v>12.5</v>
      </c>
      <c r="FP18">
        <v>122</v>
      </c>
      <c r="FQ18">
        <v>34</v>
      </c>
      <c r="FR18">
        <v>28</v>
      </c>
      <c r="FT18" t="s">
        <v>235</v>
      </c>
      <c r="FV18">
        <v>5</v>
      </c>
      <c r="FW18" t="s">
        <v>236</v>
      </c>
      <c r="FY18" t="s">
        <v>237</v>
      </c>
      <c r="FZ18" t="s">
        <v>222</v>
      </c>
      <c r="GA18" s="3">
        <v>46157</v>
      </c>
      <c r="GC18" t="s">
        <v>238</v>
      </c>
    </row>
    <row r="19" spans="1:185" x14ac:dyDescent="0.25">
      <c r="A19" t="s">
        <v>412</v>
      </c>
      <c r="B19" t="s">
        <v>413</v>
      </c>
      <c r="C19" t="s">
        <v>414</v>
      </c>
      <c r="D19" t="s">
        <v>415</v>
      </c>
      <c r="E19">
        <v>14</v>
      </c>
      <c r="F19" t="s">
        <v>416</v>
      </c>
      <c r="G19" t="s">
        <v>244</v>
      </c>
      <c r="H19" t="s">
        <v>193</v>
      </c>
      <c r="I19" t="s">
        <v>318</v>
      </c>
      <c r="J19" t="s">
        <v>195</v>
      </c>
      <c r="K19" t="s">
        <v>196</v>
      </c>
      <c r="L19" t="s">
        <v>197</v>
      </c>
      <c r="M19" t="s">
        <v>417</v>
      </c>
      <c r="N19" t="s">
        <v>199</v>
      </c>
      <c r="O19" t="s">
        <v>200</v>
      </c>
      <c r="P19" t="s">
        <v>201</v>
      </c>
      <c r="Q19" t="s">
        <v>202</v>
      </c>
      <c r="R19" t="s">
        <v>203</v>
      </c>
      <c r="S19" t="s">
        <v>418</v>
      </c>
      <c r="T19" t="s">
        <v>205</v>
      </c>
      <c r="U19" t="s">
        <v>206</v>
      </c>
      <c r="V19" t="s">
        <v>207</v>
      </c>
      <c r="W19" t="s">
        <v>419</v>
      </c>
      <c r="X19" t="s">
        <v>420</v>
      </c>
      <c r="Y19" t="s">
        <v>322</v>
      </c>
      <c r="Z19">
        <v>49.225</v>
      </c>
      <c r="AA19">
        <v>6.225</v>
      </c>
      <c r="AB19" t="s">
        <v>250</v>
      </c>
      <c r="AC19" t="s">
        <v>251</v>
      </c>
      <c r="AD19" t="s">
        <v>213</v>
      </c>
      <c r="AE19" t="s">
        <v>214</v>
      </c>
      <c r="AF19">
        <v>44</v>
      </c>
      <c r="AG19" t="s">
        <v>205</v>
      </c>
      <c r="AH19" t="s">
        <v>421</v>
      </c>
      <c r="AI19" t="s">
        <v>422</v>
      </c>
      <c r="AJ19" s="3">
        <v>41699</v>
      </c>
      <c r="AK19" s="3">
        <v>41640</v>
      </c>
      <c r="AL19" s="3">
        <v>44378</v>
      </c>
      <c r="AM19" t="s">
        <v>218</v>
      </c>
      <c r="AN19" t="s">
        <v>219</v>
      </c>
      <c r="AO19" s="3">
        <v>48213</v>
      </c>
      <c r="AP19" s="3">
        <v>47664</v>
      </c>
      <c r="AQ19" t="s">
        <v>220</v>
      </c>
      <c r="AR19" s="3">
        <v>47483</v>
      </c>
      <c r="AS19" s="3">
        <v>47299</v>
      </c>
      <c r="AT19" t="s">
        <v>221</v>
      </c>
      <c r="AV19" t="s">
        <v>222</v>
      </c>
      <c r="AW19">
        <v>1029600</v>
      </c>
      <c r="AX19">
        <v>1060488</v>
      </c>
      <c r="AY19">
        <v>53.56</v>
      </c>
      <c r="AZ19">
        <v>1092303</v>
      </c>
      <c r="BA19">
        <v>55.17</v>
      </c>
      <c r="BB19">
        <v>0.03</v>
      </c>
      <c r="BC19">
        <v>1125072</v>
      </c>
      <c r="BD19">
        <v>56.82</v>
      </c>
      <c r="BE19">
        <v>0.03</v>
      </c>
      <c r="BF19">
        <v>1158824</v>
      </c>
      <c r="BG19">
        <v>58.53</v>
      </c>
      <c r="BH19">
        <v>0.03</v>
      </c>
      <c r="BI19">
        <v>1158824</v>
      </c>
      <c r="BJ19">
        <v>120000</v>
      </c>
      <c r="BK19">
        <v>3</v>
      </c>
      <c r="BM19">
        <v>48.5</v>
      </c>
      <c r="BN19">
        <v>52</v>
      </c>
      <c r="BO19" t="s">
        <v>223</v>
      </c>
      <c r="BP19" t="s">
        <v>224</v>
      </c>
      <c r="BQ19">
        <v>0.045</v>
      </c>
      <c r="BR19">
        <v>140</v>
      </c>
      <c r="BT19" t="s">
        <v>225</v>
      </c>
      <c r="BU19" t="s">
        <v>226</v>
      </c>
      <c r="BY19">
        <v>2020</v>
      </c>
      <c r="BZ19">
        <v>1881000</v>
      </c>
      <c r="CA19">
        <v>792000</v>
      </c>
      <c r="CB19">
        <v>1881000</v>
      </c>
      <c r="CC19">
        <v>95</v>
      </c>
      <c r="CD19">
        <v>792000</v>
      </c>
      <c r="CE19">
        <v>40</v>
      </c>
      <c r="CF19">
        <v>1824570</v>
      </c>
      <c r="CG19">
        <v>92.15</v>
      </c>
      <c r="CH19">
        <v>752400</v>
      </c>
      <c r="CI19">
        <v>38</v>
      </c>
      <c r="CJ19" t="s">
        <v>222</v>
      </c>
      <c r="CL19">
        <v>1769833</v>
      </c>
      <c r="CM19">
        <v>89.39</v>
      </c>
      <c r="CN19">
        <v>714780</v>
      </c>
      <c r="CO19">
        <v>36.1</v>
      </c>
      <c r="CP19">
        <v>2376</v>
      </c>
      <c r="CQ19">
        <v>0.12</v>
      </c>
      <c r="CR19">
        <v>1716738</v>
      </c>
      <c r="CS19">
        <v>86.7</v>
      </c>
      <c r="CT19">
        <v>679041</v>
      </c>
      <c r="CU19">
        <v>34.3</v>
      </c>
      <c r="CV19">
        <v>2400</v>
      </c>
      <c r="CW19">
        <v>0.1212</v>
      </c>
      <c r="CY19">
        <v>178200</v>
      </c>
      <c r="CZ19">
        <v>9</v>
      </c>
      <c r="DA19">
        <v>185328</v>
      </c>
      <c r="DB19">
        <v>9.36</v>
      </c>
      <c r="DC19">
        <v>192741</v>
      </c>
      <c r="DD19">
        <v>9.73</v>
      </c>
      <c r="DE19">
        <v>210474</v>
      </c>
      <c r="DF19">
        <v>200451</v>
      </c>
      <c r="DG19">
        <v>10.12</v>
      </c>
      <c r="DH19">
        <v>216808</v>
      </c>
      <c r="DI19">
        <v>10.95</v>
      </c>
      <c r="DJ19">
        <v>45487</v>
      </c>
      <c r="DL19">
        <v>35640</v>
      </c>
      <c r="DM19">
        <v>1.8</v>
      </c>
      <c r="DN19">
        <v>37422</v>
      </c>
      <c r="DO19">
        <v>1.89</v>
      </c>
      <c r="DP19">
        <v>39293</v>
      </c>
      <c r="DQ19">
        <v>1.98</v>
      </c>
      <c r="DR19">
        <v>41258</v>
      </c>
      <c r="DS19">
        <v>2.08</v>
      </c>
      <c r="DT19">
        <v>0.05</v>
      </c>
      <c r="DU19">
        <v>118800</v>
      </c>
      <c r="DV19">
        <v>6</v>
      </c>
      <c r="DW19">
        <v>123552</v>
      </c>
      <c r="DX19">
        <v>6.24</v>
      </c>
      <c r="DY19">
        <v>128494</v>
      </c>
      <c r="DZ19">
        <v>6.49</v>
      </c>
      <c r="EA19">
        <v>0.04</v>
      </c>
      <c r="EB19">
        <v>133634</v>
      </c>
      <c r="EC19">
        <v>6.75</v>
      </c>
      <c r="ED19">
        <v>0.04</v>
      </c>
      <c r="EE19">
        <v>138600</v>
      </c>
      <c r="EP19" s="3">
        <v>43466</v>
      </c>
      <c r="EQ19" t="s">
        <v>205</v>
      </c>
      <c r="ER19" t="s">
        <v>229</v>
      </c>
      <c r="ES19" s="3">
        <v>47118</v>
      </c>
      <c r="ET19" t="s">
        <v>230</v>
      </c>
      <c r="EU19" t="s">
        <v>220</v>
      </c>
      <c r="EV19" t="s">
        <v>231</v>
      </c>
      <c r="EW19" s="3">
        <v>46752</v>
      </c>
      <c r="EX19">
        <v>110</v>
      </c>
      <c r="EY19">
        <v>83160000</v>
      </c>
      <c r="EZ19">
        <v>1881000</v>
      </c>
      <c r="FA19" t="s">
        <v>258</v>
      </c>
      <c r="FB19">
        <v>2009</v>
      </c>
      <c r="FE19">
        <v>20592</v>
      </c>
      <c r="FF19">
        <v>51480</v>
      </c>
      <c r="FG19">
        <v>19800</v>
      </c>
      <c r="FH19">
        <v>6930</v>
      </c>
      <c r="FI19">
        <v>10890</v>
      </c>
      <c r="FJ19">
        <v>594</v>
      </c>
      <c r="FK19">
        <v>198</v>
      </c>
      <c r="FL19">
        <v>158</v>
      </c>
      <c r="FM19">
        <v>891</v>
      </c>
      <c r="FN19">
        <v>25</v>
      </c>
      <c r="FO19">
        <v>12.5</v>
      </c>
      <c r="FP19">
        <v>79</v>
      </c>
      <c r="FQ19">
        <v>22</v>
      </c>
      <c r="FR19">
        <v>18</v>
      </c>
      <c r="FT19" t="s">
        <v>235</v>
      </c>
      <c r="FV19">
        <v>3</v>
      </c>
      <c r="FW19" t="s">
        <v>236</v>
      </c>
      <c r="FY19" t="s">
        <v>237</v>
      </c>
      <c r="FZ19" t="s">
        <v>222</v>
      </c>
      <c r="GA19" s="3">
        <v>46157</v>
      </c>
      <c r="GC19" t="s">
        <v>238</v>
      </c>
    </row>
    <row r="20" spans="1:185" x14ac:dyDescent="0.25">
      <c r="A20" t="s">
        <v>423</v>
      </c>
      <c r="B20" t="s">
        <v>424</v>
      </c>
      <c r="C20" t="s">
        <v>425</v>
      </c>
      <c r="D20" t="s">
        <v>426</v>
      </c>
      <c r="E20">
        <v>15</v>
      </c>
      <c r="F20" t="s">
        <v>427</v>
      </c>
      <c r="G20" t="s">
        <v>192</v>
      </c>
      <c r="H20" t="s">
        <v>193</v>
      </c>
      <c r="I20" t="s">
        <v>428</v>
      </c>
      <c r="J20" t="s">
        <v>195</v>
      </c>
      <c r="K20" t="s">
        <v>196</v>
      </c>
      <c r="L20" t="s">
        <v>197</v>
      </c>
      <c r="M20" t="s">
        <v>429</v>
      </c>
      <c r="N20" t="s">
        <v>199</v>
      </c>
      <c r="O20" t="s">
        <v>200</v>
      </c>
      <c r="P20" t="s">
        <v>201</v>
      </c>
      <c r="Q20" t="s">
        <v>202</v>
      </c>
      <c r="R20" t="s">
        <v>203</v>
      </c>
      <c r="S20" t="s">
        <v>430</v>
      </c>
      <c r="T20" t="s">
        <v>222</v>
      </c>
      <c r="U20" t="s">
        <v>267</v>
      </c>
      <c r="W20" t="s">
        <v>431</v>
      </c>
      <c r="X20" t="s">
        <v>432</v>
      </c>
      <c r="Y20" t="s">
        <v>433</v>
      </c>
      <c r="Z20">
        <v>49.36</v>
      </c>
      <c r="AA20">
        <v>1.01</v>
      </c>
      <c r="AB20" t="s">
        <v>211</v>
      </c>
      <c r="AC20" t="s">
        <v>212</v>
      </c>
      <c r="AD20" t="s">
        <v>213</v>
      </c>
      <c r="AE20" t="s">
        <v>214</v>
      </c>
      <c r="AF20">
        <v>45</v>
      </c>
      <c r="AG20" t="s">
        <v>205</v>
      </c>
      <c r="AH20" t="s">
        <v>434</v>
      </c>
      <c r="AI20" t="s">
        <v>435</v>
      </c>
      <c r="AJ20" s="3">
        <v>42064</v>
      </c>
      <c r="AK20" s="3">
        <v>41640</v>
      </c>
      <c r="AL20" s="3">
        <v>44378</v>
      </c>
      <c r="AM20" t="s">
        <v>218</v>
      </c>
      <c r="AN20" t="s">
        <v>219</v>
      </c>
      <c r="AO20" s="3">
        <v>48213</v>
      </c>
      <c r="AP20" s="3">
        <v>48029</v>
      </c>
      <c r="AQ20" t="s">
        <v>220</v>
      </c>
      <c r="AR20" s="3">
        <v>47848</v>
      </c>
      <c r="AS20" s="3">
        <v>47664</v>
      </c>
      <c r="AT20" t="s">
        <v>221</v>
      </c>
      <c r="AV20" t="s">
        <v>222</v>
      </c>
      <c r="AW20">
        <v>902200</v>
      </c>
      <c r="AX20">
        <v>929266</v>
      </c>
      <c r="AY20">
        <v>53.56</v>
      </c>
      <c r="AZ20">
        <v>957144</v>
      </c>
      <c r="BA20">
        <v>55.17</v>
      </c>
      <c r="BB20">
        <v>0.03</v>
      </c>
      <c r="BC20">
        <v>985858</v>
      </c>
      <c r="BD20">
        <v>56.82</v>
      </c>
      <c r="BE20">
        <v>0.03</v>
      </c>
      <c r="BF20">
        <v>1015434</v>
      </c>
      <c r="BG20">
        <v>58.53</v>
      </c>
      <c r="BH20">
        <v>0.03</v>
      </c>
      <c r="BI20">
        <v>1015434</v>
      </c>
      <c r="BJ20">
        <v>120000</v>
      </c>
      <c r="BK20">
        <v>3</v>
      </c>
      <c r="BM20">
        <v>48.5</v>
      </c>
      <c r="BN20">
        <v>52</v>
      </c>
      <c r="BO20" t="s">
        <v>223</v>
      </c>
      <c r="BP20" t="s">
        <v>224</v>
      </c>
      <c r="BQ20">
        <v>0.045</v>
      </c>
      <c r="BR20">
        <v>140</v>
      </c>
      <c r="BT20" t="s">
        <v>225</v>
      </c>
      <c r="BU20" t="s">
        <v>226</v>
      </c>
      <c r="BY20">
        <v>2020</v>
      </c>
      <c r="BZ20">
        <v>1648250</v>
      </c>
      <c r="CA20">
        <v>694000</v>
      </c>
      <c r="CB20">
        <v>1648250</v>
      </c>
      <c r="CC20">
        <v>95</v>
      </c>
      <c r="CD20">
        <v>694000</v>
      </c>
      <c r="CE20">
        <v>40</v>
      </c>
      <c r="CF20">
        <v>1598803</v>
      </c>
      <c r="CG20">
        <v>92.15</v>
      </c>
      <c r="CH20">
        <v>659300</v>
      </c>
      <c r="CI20">
        <v>38</v>
      </c>
      <c r="CJ20" t="s">
        <v>222</v>
      </c>
      <c r="CL20">
        <v>1550838</v>
      </c>
      <c r="CM20">
        <v>89.39</v>
      </c>
      <c r="CN20">
        <v>626335</v>
      </c>
      <c r="CO20">
        <v>36.1</v>
      </c>
      <c r="CP20">
        <v>2082</v>
      </c>
      <c r="CQ20">
        <v>0.12</v>
      </c>
      <c r="CR20">
        <v>1504313</v>
      </c>
      <c r="CS20">
        <v>86.7</v>
      </c>
      <c r="CT20">
        <v>595018</v>
      </c>
      <c r="CU20">
        <v>34.29</v>
      </c>
      <c r="CV20">
        <v>2103</v>
      </c>
      <c r="CW20">
        <v>0.1212</v>
      </c>
      <c r="CY20">
        <v>156150</v>
      </c>
      <c r="CZ20">
        <v>9</v>
      </c>
      <c r="DA20">
        <v>162396</v>
      </c>
      <c r="DB20">
        <v>9.36</v>
      </c>
      <c r="DC20">
        <v>168892</v>
      </c>
      <c r="DD20">
        <v>9.73</v>
      </c>
      <c r="DE20">
        <v>184430</v>
      </c>
      <c r="DF20">
        <v>175648</v>
      </c>
      <c r="DG20">
        <v>10.12</v>
      </c>
      <c r="DH20">
        <v>189980</v>
      </c>
      <c r="DI20">
        <v>10.95</v>
      </c>
      <c r="DJ20">
        <v>39858</v>
      </c>
      <c r="DL20">
        <v>31230</v>
      </c>
      <c r="DM20">
        <v>1.8</v>
      </c>
      <c r="DN20">
        <v>32792</v>
      </c>
      <c r="DO20">
        <v>1.89</v>
      </c>
      <c r="DP20">
        <v>34431</v>
      </c>
      <c r="DQ20">
        <v>1.98</v>
      </c>
      <c r="DR20">
        <v>36153</v>
      </c>
      <c r="DS20">
        <v>2.08</v>
      </c>
      <c r="DT20">
        <v>0.05</v>
      </c>
      <c r="DU20">
        <v>104100</v>
      </c>
      <c r="DV20">
        <v>6</v>
      </c>
      <c r="DW20">
        <v>108264</v>
      </c>
      <c r="DX20">
        <v>6.24</v>
      </c>
      <c r="DY20">
        <v>112595</v>
      </c>
      <c r="DZ20">
        <v>6.49</v>
      </c>
      <c r="EA20">
        <v>0.04</v>
      </c>
      <c r="EB20">
        <v>117098</v>
      </c>
      <c r="EC20">
        <v>6.75</v>
      </c>
      <c r="ED20">
        <v>0.04</v>
      </c>
      <c r="EE20">
        <v>121450</v>
      </c>
      <c r="EP20" s="3">
        <v>43466</v>
      </c>
      <c r="EQ20" t="s">
        <v>205</v>
      </c>
      <c r="ER20" t="s">
        <v>229</v>
      </c>
      <c r="ES20" s="3">
        <v>47118</v>
      </c>
      <c r="ET20" t="s">
        <v>230</v>
      </c>
      <c r="EU20" t="s">
        <v>220</v>
      </c>
      <c r="EV20" t="s">
        <v>231</v>
      </c>
      <c r="EW20" s="3">
        <v>46752</v>
      </c>
      <c r="EX20">
        <v>96</v>
      </c>
      <c r="EY20">
        <v>72870000</v>
      </c>
      <c r="EZ20">
        <v>1648250</v>
      </c>
      <c r="FA20" t="s">
        <v>232</v>
      </c>
      <c r="FB20">
        <v>2010</v>
      </c>
      <c r="FE20">
        <v>18044</v>
      </c>
      <c r="FF20">
        <v>45110</v>
      </c>
      <c r="FG20">
        <v>17350</v>
      </c>
      <c r="FH20">
        <v>6073</v>
      </c>
      <c r="FI20">
        <v>9543</v>
      </c>
      <c r="FJ20">
        <v>521</v>
      </c>
      <c r="FK20">
        <v>174</v>
      </c>
      <c r="FL20">
        <v>139</v>
      </c>
      <c r="FM20">
        <v>781</v>
      </c>
      <c r="FN20">
        <v>25</v>
      </c>
      <c r="FO20">
        <v>12.5</v>
      </c>
      <c r="FP20">
        <v>69</v>
      </c>
      <c r="FQ20">
        <v>19</v>
      </c>
      <c r="FR20">
        <v>16</v>
      </c>
      <c r="FS20">
        <v>17610</v>
      </c>
      <c r="FT20" t="s">
        <v>235</v>
      </c>
      <c r="FV20">
        <v>3</v>
      </c>
      <c r="FW20" t="s">
        <v>236</v>
      </c>
      <c r="FY20" t="s">
        <v>237</v>
      </c>
      <c r="FZ20" t="s">
        <v>222</v>
      </c>
      <c r="GA20" s="3">
        <v>46157</v>
      </c>
      <c r="GC20" t="s">
        <v>238</v>
      </c>
    </row>
    <row r="21" spans="1:185" x14ac:dyDescent="0.25">
      <c r="A21" t="s">
        <v>436</v>
      </c>
      <c r="B21" t="s">
        <v>437</v>
      </c>
      <c r="C21" t="s">
        <v>438</v>
      </c>
      <c r="D21" t="s">
        <v>439</v>
      </c>
      <c r="E21">
        <v>16</v>
      </c>
      <c r="F21" t="s">
        <v>440</v>
      </c>
      <c r="G21" t="s">
        <v>244</v>
      </c>
      <c r="H21" t="s">
        <v>193</v>
      </c>
      <c r="I21" t="s">
        <v>194</v>
      </c>
      <c r="J21" t="s">
        <v>195</v>
      </c>
      <c r="K21" t="s">
        <v>196</v>
      </c>
      <c r="L21" t="s">
        <v>197</v>
      </c>
      <c r="M21" t="s">
        <v>441</v>
      </c>
      <c r="N21" t="s">
        <v>199</v>
      </c>
      <c r="O21" t="s">
        <v>200</v>
      </c>
      <c r="P21" t="s">
        <v>201</v>
      </c>
      <c r="Q21" t="s">
        <v>202</v>
      </c>
      <c r="R21" t="s">
        <v>203</v>
      </c>
      <c r="S21" t="s">
        <v>204</v>
      </c>
      <c r="T21" t="s">
        <v>205</v>
      </c>
      <c r="U21" t="s">
        <v>206</v>
      </c>
      <c r="V21" t="s">
        <v>207</v>
      </c>
      <c r="W21" t="s">
        <v>442</v>
      </c>
      <c r="X21" t="s">
        <v>443</v>
      </c>
      <c r="Y21" t="s">
        <v>210</v>
      </c>
      <c r="AB21" t="s">
        <v>250</v>
      </c>
      <c r="AC21" t="s">
        <v>251</v>
      </c>
      <c r="AD21" t="s">
        <v>213</v>
      </c>
      <c r="AE21" t="s">
        <v>214</v>
      </c>
      <c r="AF21">
        <v>46</v>
      </c>
      <c r="AG21" t="s">
        <v>205</v>
      </c>
      <c r="AH21" t="s">
        <v>444</v>
      </c>
      <c r="AI21" t="s">
        <v>445</v>
      </c>
      <c r="AJ21" s="3">
        <v>42430</v>
      </c>
      <c r="AK21" s="3">
        <v>41640</v>
      </c>
      <c r="AL21" s="3">
        <v>44378</v>
      </c>
      <c r="AM21" t="s">
        <v>218</v>
      </c>
      <c r="AN21" t="s">
        <v>219</v>
      </c>
      <c r="AO21" s="3">
        <v>48213</v>
      </c>
      <c r="AP21" s="3">
        <v>46934</v>
      </c>
      <c r="AQ21" t="s">
        <v>220</v>
      </c>
      <c r="AR21" s="3">
        <v>46752</v>
      </c>
      <c r="AS21" s="3">
        <v>46568</v>
      </c>
      <c r="AT21" t="s">
        <v>221</v>
      </c>
      <c r="AV21" t="s">
        <v>222</v>
      </c>
      <c r="AW21">
        <v>582400</v>
      </c>
      <c r="AX21">
        <v>599872</v>
      </c>
      <c r="AY21">
        <v>53.56</v>
      </c>
      <c r="AZ21">
        <v>617868</v>
      </c>
      <c r="BA21">
        <v>55.17</v>
      </c>
      <c r="BB21">
        <v>0.03</v>
      </c>
      <c r="BC21">
        <v>636404</v>
      </c>
      <c r="BD21">
        <v>56.82</v>
      </c>
      <c r="BE21">
        <v>0.03</v>
      </c>
      <c r="BF21">
        <v>655496</v>
      </c>
      <c r="BG21">
        <v>58.53</v>
      </c>
      <c r="BH21">
        <v>0.03</v>
      </c>
      <c r="BI21">
        <v>655496</v>
      </c>
      <c r="BJ21">
        <v>120000</v>
      </c>
      <c r="BK21">
        <v>3</v>
      </c>
      <c r="BM21">
        <v>48.5</v>
      </c>
      <c r="BN21">
        <v>52</v>
      </c>
      <c r="BO21" t="s">
        <v>223</v>
      </c>
      <c r="BP21" t="s">
        <v>224</v>
      </c>
      <c r="BQ21">
        <v>0.045</v>
      </c>
      <c r="BR21">
        <v>140</v>
      </c>
      <c r="BT21" t="s">
        <v>225</v>
      </c>
      <c r="BU21" t="s">
        <v>226</v>
      </c>
      <c r="BY21">
        <v>2020</v>
      </c>
      <c r="BZ21">
        <v>1064000</v>
      </c>
      <c r="CA21">
        <v>448000</v>
      </c>
      <c r="CB21">
        <v>1064000</v>
      </c>
      <c r="CC21">
        <v>95</v>
      </c>
      <c r="CD21">
        <v>448000</v>
      </c>
      <c r="CE21">
        <v>40</v>
      </c>
      <c r="CF21">
        <v>1032080</v>
      </c>
      <c r="CG21">
        <v>92.15</v>
      </c>
      <c r="CH21">
        <v>425600</v>
      </c>
      <c r="CI21">
        <v>38</v>
      </c>
      <c r="CJ21" t="s">
        <v>222</v>
      </c>
      <c r="CL21">
        <v>1001118</v>
      </c>
      <c r="CM21">
        <v>89.39</v>
      </c>
      <c r="CN21">
        <v>404320</v>
      </c>
      <c r="CO21">
        <v>36.1</v>
      </c>
      <c r="CP21">
        <v>1344</v>
      </c>
      <c r="CQ21">
        <v>0.12</v>
      </c>
      <c r="CR21">
        <v>971084</v>
      </c>
      <c r="CS21">
        <v>86.7</v>
      </c>
      <c r="CT21">
        <v>384104</v>
      </c>
      <c r="CU21">
        <v>34.3</v>
      </c>
      <c r="CV21">
        <v>1357</v>
      </c>
      <c r="CW21">
        <v>0.1212</v>
      </c>
      <c r="CY21">
        <v>100800</v>
      </c>
      <c r="CZ21">
        <v>9</v>
      </c>
      <c r="DA21">
        <v>104832</v>
      </c>
      <c r="DB21">
        <v>9.36</v>
      </c>
      <c r="DC21">
        <v>109025</v>
      </c>
      <c r="DD21">
        <v>9.73</v>
      </c>
      <c r="DE21">
        <v>119055</v>
      </c>
      <c r="DF21">
        <v>113386</v>
      </c>
      <c r="DG21">
        <v>10.12</v>
      </c>
      <c r="DH21">
        <v>122639</v>
      </c>
      <c r="DI21">
        <v>10.95</v>
      </c>
      <c r="DJ21">
        <v>25730</v>
      </c>
      <c r="DL21">
        <v>20160</v>
      </c>
      <c r="DM21">
        <v>1.8</v>
      </c>
      <c r="DN21">
        <v>21168</v>
      </c>
      <c r="DO21">
        <v>1.89</v>
      </c>
      <c r="DP21">
        <v>22226</v>
      </c>
      <c r="DQ21">
        <v>1.98</v>
      </c>
      <c r="DR21">
        <v>23338</v>
      </c>
      <c r="DS21">
        <v>2.08</v>
      </c>
      <c r="DT21">
        <v>0.05</v>
      </c>
      <c r="DU21">
        <v>67200</v>
      </c>
      <c r="DV21">
        <v>6</v>
      </c>
      <c r="DW21">
        <v>69888</v>
      </c>
      <c r="DX21">
        <v>6.24</v>
      </c>
      <c r="DY21">
        <v>72684</v>
      </c>
      <c r="DZ21">
        <v>6.49</v>
      </c>
      <c r="EA21">
        <v>0.04</v>
      </c>
      <c r="EB21">
        <v>75591</v>
      </c>
      <c r="EC21">
        <v>6.75</v>
      </c>
      <c r="ED21">
        <v>0.04</v>
      </c>
      <c r="EE21">
        <v>78400</v>
      </c>
      <c r="EP21" s="3">
        <v>43466</v>
      </c>
      <c r="EQ21" t="s">
        <v>205</v>
      </c>
      <c r="ER21" t="s">
        <v>229</v>
      </c>
      <c r="ES21" s="3">
        <v>47118</v>
      </c>
      <c r="ET21" t="s">
        <v>230</v>
      </c>
      <c r="EU21" t="s">
        <v>220</v>
      </c>
      <c r="EV21" t="s">
        <v>231</v>
      </c>
      <c r="EW21" s="3">
        <v>46752</v>
      </c>
      <c r="EX21">
        <v>62</v>
      </c>
      <c r="EY21">
        <v>47040000</v>
      </c>
      <c r="EZ21">
        <v>1064000</v>
      </c>
      <c r="FA21" t="s">
        <v>258</v>
      </c>
      <c r="FB21">
        <v>2011</v>
      </c>
      <c r="FE21">
        <v>11648</v>
      </c>
      <c r="FF21">
        <v>29120</v>
      </c>
      <c r="FG21">
        <v>11200</v>
      </c>
      <c r="FH21">
        <v>3920</v>
      </c>
      <c r="FI21">
        <v>6160</v>
      </c>
      <c r="FJ21">
        <v>336</v>
      </c>
      <c r="FK21">
        <v>112</v>
      </c>
      <c r="FL21">
        <v>90</v>
      </c>
      <c r="FM21">
        <v>504</v>
      </c>
      <c r="FN21">
        <v>25</v>
      </c>
      <c r="FO21">
        <v>12.5</v>
      </c>
      <c r="FP21">
        <v>45</v>
      </c>
      <c r="FQ21">
        <v>12</v>
      </c>
      <c r="FR21">
        <v>10</v>
      </c>
      <c r="FT21" t="s">
        <v>235</v>
      </c>
      <c r="FV21">
        <v>2</v>
      </c>
      <c r="FW21" t="s">
        <v>236</v>
      </c>
      <c r="FY21" t="s">
        <v>237</v>
      </c>
      <c r="FZ21" t="s">
        <v>222</v>
      </c>
      <c r="GA21" s="3">
        <v>46157</v>
      </c>
      <c r="GC21" t="s">
        <v>238</v>
      </c>
    </row>
    <row r="22" spans="1:185" x14ac:dyDescent="0.25">
      <c r="A22" t="s">
        <v>446</v>
      </c>
      <c r="B22" t="s">
        <v>447</v>
      </c>
      <c r="C22" t="s">
        <v>448</v>
      </c>
      <c r="D22" t="s">
        <v>449</v>
      </c>
      <c r="E22">
        <v>17</v>
      </c>
      <c r="F22" t="s">
        <v>450</v>
      </c>
      <c r="G22" t="s">
        <v>192</v>
      </c>
      <c r="H22" t="s">
        <v>193</v>
      </c>
      <c r="I22" t="s">
        <v>330</v>
      </c>
      <c r="J22" t="s">
        <v>195</v>
      </c>
      <c r="K22" t="s">
        <v>196</v>
      </c>
      <c r="L22" t="s">
        <v>197</v>
      </c>
      <c r="M22" t="s">
        <v>451</v>
      </c>
      <c r="N22" t="s">
        <v>199</v>
      </c>
      <c r="O22" t="s">
        <v>200</v>
      </c>
      <c r="P22" t="s">
        <v>201</v>
      </c>
      <c r="Q22" t="s">
        <v>202</v>
      </c>
      <c r="R22" t="s">
        <v>203</v>
      </c>
      <c r="S22" t="s">
        <v>204</v>
      </c>
      <c r="T22" t="s">
        <v>205</v>
      </c>
      <c r="U22" t="s">
        <v>206</v>
      </c>
      <c r="V22" t="s">
        <v>207</v>
      </c>
      <c r="W22" t="s">
        <v>452</v>
      </c>
      <c r="X22" t="s">
        <v>453</v>
      </c>
      <c r="Y22" t="s">
        <v>334</v>
      </c>
      <c r="Z22">
        <v>43.656</v>
      </c>
      <c r="AA22">
        <v>3.97</v>
      </c>
      <c r="AB22" t="s">
        <v>211</v>
      </c>
      <c r="AC22" t="s">
        <v>212</v>
      </c>
      <c r="AD22" t="s">
        <v>213</v>
      </c>
      <c r="AE22" t="s">
        <v>214</v>
      </c>
      <c r="AF22">
        <v>47</v>
      </c>
      <c r="AG22" t="s">
        <v>205</v>
      </c>
      <c r="AH22" t="s">
        <v>454</v>
      </c>
      <c r="AI22" t="s">
        <v>455</v>
      </c>
      <c r="AJ22" s="3">
        <v>42795</v>
      </c>
      <c r="AK22" s="3">
        <v>41640</v>
      </c>
      <c r="AL22" s="3">
        <v>44378</v>
      </c>
      <c r="AM22" t="s">
        <v>218</v>
      </c>
      <c r="AN22" t="s">
        <v>219</v>
      </c>
      <c r="AO22" s="3">
        <v>48213</v>
      </c>
      <c r="AP22" s="3">
        <v>47299</v>
      </c>
      <c r="AQ22" t="s">
        <v>456</v>
      </c>
      <c r="AR22" s="3">
        <v>47118</v>
      </c>
      <c r="AS22" s="3">
        <v>45658</v>
      </c>
      <c r="AT22" t="s">
        <v>221</v>
      </c>
      <c r="AV22" t="s">
        <v>222</v>
      </c>
      <c r="AW22">
        <v>1076400</v>
      </c>
      <c r="AX22">
        <v>1108692</v>
      </c>
      <c r="AY22">
        <v>53.56</v>
      </c>
      <c r="AZ22">
        <v>1141953</v>
      </c>
      <c r="BA22">
        <v>55.17</v>
      </c>
      <c r="BB22">
        <v>0.03</v>
      </c>
      <c r="BC22">
        <v>1176211</v>
      </c>
      <c r="BD22">
        <v>56.82</v>
      </c>
      <c r="BE22">
        <v>0.03</v>
      </c>
      <c r="BF22">
        <v>1211498</v>
      </c>
      <c r="BG22">
        <v>58.53</v>
      </c>
      <c r="BH22">
        <v>0.03</v>
      </c>
      <c r="BI22">
        <v>1211498</v>
      </c>
      <c r="BJ22">
        <v>120000</v>
      </c>
      <c r="BK22">
        <v>3</v>
      </c>
      <c r="BM22">
        <v>48.5</v>
      </c>
      <c r="BN22">
        <v>52</v>
      </c>
      <c r="BO22" t="s">
        <v>223</v>
      </c>
      <c r="BP22" t="s">
        <v>224</v>
      </c>
      <c r="BQ22">
        <v>0.045</v>
      </c>
      <c r="BR22">
        <v>140</v>
      </c>
      <c r="BT22" t="s">
        <v>225</v>
      </c>
      <c r="BU22" t="s">
        <v>226</v>
      </c>
      <c r="BY22">
        <v>2020</v>
      </c>
      <c r="BZ22">
        <v>1966500</v>
      </c>
      <c r="CA22">
        <v>828000</v>
      </c>
      <c r="CB22">
        <v>1966500</v>
      </c>
      <c r="CC22">
        <v>95</v>
      </c>
      <c r="CD22">
        <v>828000</v>
      </c>
      <c r="CE22">
        <v>40</v>
      </c>
      <c r="CF22">
        <v>1907505</v>
      </c>
      <c r="CG22">
        <v>92.15</v>
      </c>
      <c r="CH22">
        <v>786600</v>
      </c>
      <c r="CI22">
        <v>38</v>
      </c>
      <c r="CJ22" t="s">
        <v>222</v>
      </c>
      <c r="CL22">
        <v>1850280</v>
      </c>
      <c r="CM22">
        <v>89.39</v>
      </c>
      <c r="CN22">
        <v>747270</v>
      </c>
      <c r="CO22">
        <v>36.1</v>
      </c>
      <c r="CP22">
        <v>2484</v>
      </c>
      <c r="CQ22">
        <v>0.12</v>
      </c>
      <c r="CR22">
        <v>1794771</v>
      </c>
      <c r="CS22">
        <v>86.7</v>
      </c>
      <c r="CT22">
        <v>709906</v>
      </c>
      <c r="CU22">
        <v>34.29</v>
      </c>
      <c r="CV22">
        <v>2509</v>
      </c>
      <c r="CW22">
        <v>0.1212</v>
      </c>
      <c r="CY22">
        <v>186300</v>
      </c>
      <c r="CZ22">
        <v>9</v>
      </c>
      <c r="DA22">
        <v>193752</v>
      </c>
      <c r="DB22">
        <v>9.36</v>
      </c>
      <c r="DC22">
        <v>201502</v>
      </c>
      <c r="DD22">
        <v>9.73</v>
      </c>
      <c r="DE22">
        <v>220040</v>
      </c>
      <c r="DF22">
        <v>209562</v>
      </c>
      <c r="DG22">
        <v>10.12</v>
      </c>
      <c r="DH22">
        <v>226662</v>
      </c>
      <c r="DI22">
        <v>10.95</v>
      </c>
      <c r="DJ22">
        <v>47554</v>
      </c>
      <c r="DL22">
        <v>37260</v>
      </c>
      <c r="DM22">
        <v>1.8</v>
      </c>
      <c r="DN22">
        <v>39123</v>
      </c>
      <c r="DO22">
        <v>1.89</v>
      </c>
      <c r="DP22">
        <v>41079</v>
      </c>
      <c r="DQ22">
        <v>1.98</v>
      </c>
      <c r="DR22">
        <v>43133</v>
      </c>
      <c r="DS22">
        <v>2.08</v>
      </c>
      <c r="DT22">
        <v>0.05</v>
      </c>
      <c r="DU22">
        <v>124200</v>
      </c>
      <c r="DV22">
        <v>6</v>
      </c>
      <c r="DW22">
        <v>129168</v>
      </c>
      <c r="DX22">
        <v>6.24</v>
      </c>
      <c r="DY22">
        <v>134335</v>
      </c>
      <c r="DZ22">
        <v>6.49</v>
      </c>
      <c r="EA22">
        <v>0.04</v>
      </c>
      <c r="EB22">
        <v>139708</v>
      </c>
      <c r="EC22">
        <v>6.75</v>
      </c>
      <c r="ED22">
        <v>0.04</v>
      </c>
      <c r="EE22">
        <v>144900</v>
      </c>
      <c r="EP22" s="3">
        <v>43466</v>
      </c>
      <c r="EQ22" t="s">
        <v>205</v>
      </c>
      <c r="ER22" t="s">
        <v>229</v>
      </c>
      <c r="ES22" s="3">
        <v>47118</v>
      </c>
      <c r="ET22" t="s">
        <v>230</v>
      </c>
      <c r="EU22" t="s">
        <v>220</v>
      </c>
      <c r="EV22" t="s">
        <v>231</v>
      </c>
      <c r="EW22" s="3">
        <v>46752</v>
      </c>
      <c r="EX22">
        <v>115</v>
      </c>
      <c r="EY22">
        <v>86940000</v>
      </c>
      <c r="EZ22">
        <v>1966500</v>
      </c>
      <c r="FA22" t="s">
        <v>232</v>
      </c>
      <c r="FB22">
        <v>2012</v>
      </c>
      <c r="FE22">
        <v>21528</v>
      </c>
      <c r="FF22">
        <v>53820</v>
      </c>
      <c r="FG22">
        <v>20700</v>
      </c>
      <c r="FH22">
        <v>7245</v>
      </c>
      <c r="FI22">
        <v>11385</v>
      </c>
      <c r="FJ22">
        <v>621</v>
      </c>
      <c r="FK22">
        <v>207</v>
      </c>
      <c r="FL22">
        <v>166</v>
      </c>
      <c r="FM22">
        <v>932</v>
      </c>
      <c r="FN22">
        <v>25</v>
      </c>
      <c r="FO22">
        <v>12.5</v>
      </c>
      <c r="FP22">
        <v>83</v>
      </c>
      <c r="FQ22">
        <v>23</v>
      </c>
      <c r="FR22">
        <v>19</v>
      </c>
      <c r="FT22" t="s">
        <v>235</v>
      </c>
      <c r="FV22">
        <v>3</v>
      </c>
      <c r="FW22" t="s">
        <v>236</v>
      </c>
      <c r="FY22" t="s">
        <v>237</v>
      </c>
      <c r="FZ22" t="s">
        <v>222</v>
      </c>
      <c r="GA22" s="3">
        <v>46157</v>
      </c>
      <c r="GC22" t="s">
        <v>238</v>
      </c>
    </row>
    <row r="23" spans="4:185" x14ac:dyDescent="0.25">
      <c r="D23" t="s">
        <v>457</v>
      </c>
      <c r="E23">
        <v>18</v>
      </c>
      <c r="F23" t="s">
        <v>458</v>
      </c>
      <c r="G23" t="s">
        <v>244</v>
      </c>
      <c r="H23" t="s">
        <v>193</v>
      </c>
      <c r="I23" t="s">
        <v>318</v>
      </c>
      <c r="J23" t="s">
        <v>195</v>
      </c>
      <c r="K23" t="s">
        <v>196</v>
      </c>
      <c r="L23" t="s">
        <v>197</v>
      </c>
      <c r="M23" t="s">
        <v>459</v>
      </c>
      <c r="N23" t="s">
        <v>199</v>
      </c>
      <c r="O23" t="s">
        <v>200</v>
      </c>
      <c r="P23" t="s">
        <v>201</v>
      </c>
      <c r="Q23" t="s">
        <v>202</v>
      </c>
      <c r="R23" t="s">
        <v>203</v>
      </c>
      <c r="S23" t="s">
        <v>204</v>
      </c>
      <c r="T23" t="s">
        <v>205</v>
      </c>
      <c r="U23" t="s">
        <v>267</v>
      </c>
      <c r="W23" t="s">
        <v>460</v>
      </c>
      <c r="X23" t="s">
        <v>461</v>
      </c>
      <c r="Y23" t="s">
        <v>322</v>
      </c>
      <c r="Z23">
        <v>49.25</v>
      </c>
      <c r="AA23">
        <v>4.03</v>
      </c>
      <c r="AB23" t="s">
        <v>250</v>
      </c>
      <c r="AC23" t="s">
        <v>251</v>
      </c>
      <c r="AD23" t="s">
        <v>213</v>
      </c>
      <c r="AE23" t="s">
        <v>214</v>
      </c>
      <c r="AF23">
        <v>48</v>
      </c>
      <c r="AG23" t="s">
        <v>205</v>
      </c>
      <c r="AH23" t="s">
        <v>462</v>
      </c>
      <c r="AI23" t="s">
        <v>463</v>
      </c>
      <c r="AJ23" s="3">
        <v>43160</v>
      </c>
      <c r="AK23" s="3">
        <v>41640</v>
      </c>
      <c r="AL23" s="3">
        <v>44378</v>
      </c>
      <c r="AM23" t="s">
        <v>218</v>
      </c>
      <c r="AN23" t="s">
        <v>219</v>
      </c>
      <c r="AO23" s="3">
        <v>48213</v>
      </c>
      <c r="AP23" s="3">
        <v>47664</v>
      </c>
      <c r="AQ23" t="s">
        <v>220</v>
      </c>
      <c r="AR23" s="3">
        <v>47483</v>
      </c>
      <c r="AS23" s="3">
        <v>47299</v>
      </c>
      <c r="AT23" t="s">
        <v>221</v>
      </c>
      <c r="AV23" t="s">
        <v>222</v>
      </c>
      <c r="AW23">
        <v>468000</v>
      </c>
      <c r="AX23">
        <v>482040</v>
      </c>
      <c r="AY23">
        <v>53.56</v>
      </c>
      <c r="AZ23">
        <v>496501</v>
      </c>
      <c r="BA23">
        <v>55.17</v>
      </c>
      <c r="BB23">
        <v>0.03</v>
      </c>
      <c r="BC23">
        <v>511396</v>
      </c>
      <c r="BD23">
        <v>56.82</v>
      </c>
      <c r="BE23">
        <v>0.03</v>
      </c>
      <c r="BF23">
        <v>526738</v>
      </c>
      <c r="BG23">
        <v>58.53</v>
      </c>
      <c r="BH23">
        <v>0.03</v>
      </c>
      <c r="BI23">
        <v>526738</v>
      </c>
      <c r="BJ23">
        <v>120000</v>
      </c>
      <c r="BK23">
        <v>3</v>
      </c>
      <c r="BM23">
        <v>48.5</v>
      </c>
      <c r="BN23">
        <v>52</v>
      </c>
      <c r="BO23" t="s">
        <v>223</v>
      </c>
      <c r="BP23" t="s">
        <v>224</v>
      </c>
      <c r="BQ23">
        <v>0.045</v>
      </c>
      <c r="BR23">
        <v>140</v>
      </c>
      <c r="BT23" t="s">
        <v>225</v>
      </c>
      <c r="BU23" t="s">
        <v>226</v>
      </c>
      <c r="BY23">
        <v>2020</v>
      </c>
      <c r="BZ23">
        <v>855000</v>
      </c>
      <c r="CA23">
        <v>360000</v>
      </c>
      <c r="CB23">
        <v>855000</v>
      </c>
      <c r="CC23">
        <v>95</v>
      </c>
      <c r="CD23">
        <v>360000</v>
      </c>
      <c r="CE23">
        <v>40</v>
      </c>
      <c r="CF23">
        <v>829350</v>
      </c>
      <c r="CG23">
        <v>92.15</v>
      </c>
      <c r="CH23">
        <v>342000</v>
      </c>
      <c r="CI23">
        <v>38</v>
      </c>
      <c r="CJ23" t="s">
        <v>222</v>
      </c>
      <c r="CL23">
        <v>804470</v>
      </c>
      <c r="CM23">
        <v>89.39</v>
      </c>
      <c r="CN23">
        <v>324900</v>
      </c>
      <c r="CO23">
        <v>36.1</v>
      </c>
      <c r="CP23">
        <v>1080</v>
      </c>
      <c r="CQ23">
        <v>0.12</v>
      </c>
      <c r="CR23">
        <v>780335</v>
      </c>
      <c r="CS23">
        <v>86.7</v>
      </c>
      <c r="CT23">
        <v>308655</v>
      </c>
      <c r="CU23">
        <v>34.3</v>
      </c>
      <c r="CV23">
        <v>1091</v>
      </c>
      <c r="CW23">
        <v>0.1212</v>
      </c>
      <c r="CY23">
        <v>81000</v>
      </c>
      <c r="CZ23">
        <v>9</v>
      </c>
      <c r="DA23">
        <v>84240</v>
      </c>
      <c r="DB23">
        <v>9.36</v>
      </c>
      <c r="DC23">
        <v>87610</v>
      </c>
      <c r="DD23">
        <v>9.73</v>
      </c>
      <c r="DE23">
        <v>95670</v>
      </c>
      <c r="DF23">
        <v>91114</v>
      </c>
      <c r="DG23">
        <v>10.12</v>
      </c>
      <c r="DH23">
        <v>98549</v>
      </c>
      <c r="DI23">
        <v>10.95</v>
      </c>
      <c r="DJ23">
        <v>20676</v>
      </c>
      <c r="DL23">
        <v>16200</v>
      </c>
      <c r="DM23">
        <v>1.8</v>
      </c>
      <c r="DN23">
        <v>17010</v>
      </c>
      <c r="DO23">
        <v>1.89</v>
      </c>
      <c r="DP23">
        <v>17861</v>
      </c>
      <c r="DQ23">
        <v>1.98</v>
      </c>
      <c r="DR23">
        <v>18754</v>
      </c>
      <c r="DS23">
        <v>2.08</v>
      </c>
      <c r="DT23">
        <v>0.05</v>
      </c>
      <c r="DU23">
        <v>54000</v>
      </c>
      <c r="DV23">
        <v>6</v>
      </c>
      <c r="DW23">
        <v>56160</v>
      </c>
      <c r="DX23">
        <v>6.24</v>
      </c>
      <c r="DY23">
        <v>58406</v>
      </c>
      <c r="DZ23">
        <v>6.49</v>
      </c>
      <c r="EA23">
        <v>0.04</v>
      </c>
      <c r="EB23">
        <v>60743</v>
      </c>
      <c r="EC23">
        <v>6.75</v>
      </c>
      <c r="ED23">
        <v>0.04</v>
      </c>
      <c r="EE23">
        <v>63000</v>
      </c>
      <c r="EP23" s="3">
        <v>43466</v>
      </c>
      <c r="EQ23" t="s">
        <v>205</v>
      </c>
      <c r="ER23" t="s">
        <v>229</v>
      </c>
      <c r="ES23" s="3">
        <v>47118</v>
      </c>
      <c r="ET23" t="s">
        <v>230</v>
      </c>
      <c r="EU23" t="s">
        <v>220</v>
      </c>
      <c r="EV23" t="s">
        <v>231</v>
      </c>
      <c r="EW23" s="3">
        <v>46752</v>
      </c>
      <c r="EX23">
        <v>50</v>
      </c>
      <c r="EY23">
        <v>37800000</v>
      </c>
      <c r="EZ23">
        <v>855000</v>
      </c>
      <c r="FA23" t="s">
        <v>258</v>
      </c>
      <c r="FB23">
        <v>2013</v>
      </c>
      <c r="FE23">
        <v>9360</v>
      </c>
      <c r="FF23">
        <v>23400</v>
      </c>
      <c r="FG23">
        <v>9000</v>
      </c>
      <c r="FH23">
        <v>3150</v>
      </c>
      <c r="FI23">
        <v>4950</v>
      </c>
      <c r="FJ23">
        <v>270</v>
      </c>
      <c r="FK23">
        <v>90</v>
      </c>
      <c r="FL23">
        <v>72</v>
      </c>
      <c r="FM23">
        <v>405</v>
      </c>
      <c r="FN23">
        <v>25</v>
      </c>
      <c r="FO23">
        <v>12.5</v>
      </c>
      <c r="FP23">
        <v>36</v>
      </c>
      <c r="FQ23">
        <v>10</v>
      </c>
      <c r="FR23">
        <v>8</v>
      </c>
      <c r="FS23">
        <v>9135</v>
      </c>
      <c r="FT23" t="s">
        <v>235</v>
      </c>
      <c r="FV23">
        <v>2</v>
      </c>
      <c r="FW23" t="s">
        <v>236</v>
      </c>
      <c r="FY23" t="s">
        <v>237</v>
      </c>
      <c r="FZ23" t="s">
        <v>222</v>
      </c>
      <c r="GA23" s="3">
        <v>46157</v>
      </c>
      <c r="GC23" t="s">
        <v>238</v>
      </c>
    </row>
    <row r="24" spans="1:185" x14ac:dyDescent="0.25">
      <c r="A24" t="s">
        <v>464</v>
      </c>
      <c r="B24" t="s">
        <v>465</v>
      </c>
      <c r="C24" t="s">
        <v>466</v>
      </c>
      <c r="D24" t="s">
        <v>190</v>
      </c>
      <c r="E24">
        <v>19</v>
      </c>
      <c r="F24" t="s">
        <v>467</v>
      </c>
      <c r="G24" t="s">
        <v>192</v>
      </c>
      <c r="H24" t="s">
        <v>193</v>
      </c>
      <c r="I24" t="s">
        <v>304</v>
      </c>
      <c r="J24" t="s">
        <v>195</v>
      </c>
      <c r="K24" t="s">
        <v>196</v>
      </c>
      <c r="L24" t="s">
        <v>197</v>
      </c>
      <c r="M24" t="s">
        <v>468</v>
      </c>
      <c r="N24" t="s">
        <v>199</v>
      </c>
      <c r="O24" t="s">
        <v>200</v>
      </c>
      <c r="P24" t="s">
        <v>201</v>
      </c>
      <c r="Q24" t="s">
        <v>202</v>
      </c>
      <c r="R24" t="s">
        <v>203</v>
      </c>
      <c r="S24" t="s">
        <v>204</v>
      </c>
      <c r="T24" t="s">
        <v>205</v>
      </c>
      <c r="U24" t="s">
        <v>206</v>
      </c>
      <c r="V24" t="s">
        <v>207</v>
      </c>
      <c r="W24" t="s">
        <v>469</v>
      </c>
      <c r="X24" t="s">
        <v>470</v>
      </c>
      <c r="Y24" t="s">
        <v>309</v>
      </c>
      <c r="Z24">
        <v>41.93</v>
      </c>
      <c r="AA24">
        <v>8.74</v>
      </c>
      <c r="AB24" t="s">
        <v>211</v>
      </c>
      <c r="AC24" t="s">
        <v>212</v>
      </c>
      <c r="AD24" t="s">
        <v>213</v>
      </c>
      <c r="AE24" t="s">
        <v>214</v>
      </c>
      <c r="AF24">
        <v>49</v>
      </c>
      <c r="AG24" t="s">
        <v>205</v>
      </c>
      <c r="AH24" t="s">
        <v>471</v>
      </c>
      <c r="AI24" t="s">
        <v>472</v>
      </c>
      <c r="AJ24" s="3">
        <v>43525</v>
      </c>
      <c r="AK24" s="3">
        <v>41640</v>
      </c>
      <c r="AL24" s="3">
        <v>44378</v>
      </c>
      <c r="AM24" t="s">
        <v>218</v>
      </c>
      <c r="AN24" t="s">
        <v>219</v>
      </c>
      <c r="AO24" s="3">
        <v>48213</v>
      </c>
      <c r="AP24" s="3">
        <v>48029</v>
      </c>
      <c r="AQ24" t="s">
        <v>220</v>
      </c>
      <c r="AR24" s="3">
        <v>47848</v>
      </c>
      <c r="AS24" s="3">
        <v>47664</v>
      </c>
      <c r="AT24" t="s">
        <v>221</v>
      </c>
      <c r="AV24" t="s">
        <v>222</v>
      </c>
      <c r="AW24">
        <v>436800</v>
      </c>
      <c r="AX24">
        <v>449904</v>
      </c>
      <c r="AY24">
        <v>53.56</v>
      </c>
      <c r="AZ24">
        <v>463401</v>
      </c>
      <c r="BA24">
        <v>55.17</v>
      </c>
      <c r="BB24">
        <v>0.03</v>
      </c>
      <c r="BC24">
        <v>477303</v>
      </c>
      <c r="BD24">
        <v>56.82</v>
      </c>
      <c r="BE24">
        <v>0.03</v>
      </c>
      <c r="BF24">
        <v>491622</v>
      </c>
      <c r="BG24">
        <v>58.53</v>
      </c>
      <c r="BH24">
        <v>0.03</v>
      </c>
      <c r="BI24">
        <v>491622</v>
      </c>
      <c r="BJ24">
        <v>120000</v>
      </c>
      <c r="BK24">
        <v>3</v>
      </c>
      <c r="BM24">
        <v>48.5</v>
      </c>
      <c r="BN24">
        <v>52</v>
      </c>
      <c r="BO24" t="s">
        <v>223</v>
      </c>
      <c r="BP24" t="s">
        <v>224</v>
      </c>
      <c r="BQ24">
        <v>0.045</v>
      </c>
      <c r="BR24">
        <v>140</v>
      </c>
      <c r="BT24" t="s">
        <v>225</v>
      </c>
      <c r="BU24" t="s">
        <v>226</v>
      </c>
      <c r="BY24">
        <v>2020</v>
      </c>
      <c r="BZ24">
        <v>798000</v>
      </c>
      <c r="CA24">
        <v>336000</v>
      </c>
      <c r="CB24">
        <v>798000</v>
      </c>
      <c r="CC24">
        <v>95</v>
      </c>
      <c r="CD24">
        <v>336000</v>
      </c>
      <c r="CE24">
        <v>40</v>
      </c>
      <c r="CF24">
        <v>774060</v>
      </c>
      <c r="CG24">
        <v>92.15</v>
      </c>
      <c r="CH24">
        <v>319200</v>
      </c>
      <c r="CI24">
        <v>38</v>
      </c>
      <c r="CJ24" t="s">
        <v>222</v>
      </c>
      <c r="CL24">
        <v>750838</v>
      </c>
      <c r="CM24">
        <v>89.39</v>
      </c>
      <c r="CN24">
        <v>303240</v>
      </c>
      <c r="CO24">
        <v>36.1</v>
      </c>
      <c r="CP24">
        <v>1008</v>
      </c>
      <c r="CQ24">
        <v>0.12</v>
      </c>
      <c r="CR24">
        <v>728313</v>
      </c>
      <c r="CS24">
        <v>86.7</v>
      </c>
      <c r="CT24">
        <v>288078</v>
      </c>
      <c r="CU24">
        <v>34.3</v>
      </c>
      <c r="CV24">
        <v>1018</v>
      </c>
      <c r="CW24">
        <v>0.1212</v>
      </c>
      <c r="CY24">
        <v>75600</v>
      </c>
      <c r="CZ24">
        <v>9</v>
      </c>
      <c r="DA24">
        <v>78624</v>
      </c>
      <c r="DB24">
        <v>9.36</v>
      </c>
      <c r="DC24">
        <v>81769</v>
      </c>
      <c r="DD24">
        <v>9.73</v>
      </c>
      <c r="DE24">
        <v>89292</v>
      </c>
      <c r="DF24">
        <v>85040</v>
      </c>
      <c r="DG24">
        <v>10.12</v>
      </c>
      <c r="DH24">
        <v>91979</v>
      </c>
      <c r="DI24">
        <v>10.95</v>
      </c>
      <c r="DJ24">
        <v>19297</v>
      </c>
      <c r="DL24">
        <v>15120</v>
      </c>
      <c r="DM24">
        <v>1.8</v>
      </c>
      <c r="DN24">
        <v>15876</v>
      </c>
      <c r="DO24">
        <v>1.89</v>
      </c>
      <c r="DP24">
        <v>16670</v>
      </c>
      <c r="DQ24">
        <v>1.98</v>
      </c>
      <c r="DR24">
        <v>17503</v>
      </c>
      <c r="DS24">
        <v>2.08</v>
      </c>
      <c r="DT24">
        <v>0.05</v>
      </c>
      <c r="DU24">
        <v>50400</v>
      </c>
      <c r="DV24">
        <v>6</v>
      </c>
      <c r="DW24">
        <v>52416</v>
      </c>
      <c r="DX24">
        <v>6.24</v>
      </c>
      <c r="DY24">
        <v>54513</v>
      </c>
      <c r="DZ24">
        <v>6.49</v>
      </c>
      <c r="EA24">
        <v>0.04</v>
      </c>
      <c r="EB24">
        <v>56693</v>
      </c>
      <c r="EC24">
        <v>6.75</v>
      </c>
      <c r="ED24">
        <v>0.04</v>
      </c>
      <c r="EE24">
        <v>58800</v>
      </c>
      <c r="EP24" s="3">
        <v>43466</v>
      </c>
      <c r="EQ24" t="s">
        <v>205</v>
      </c>
      <c r="ER24" t="s">
        <v>229</v>
      </c>
      <c r="ES24" s="3">
        <v>47118</v>
      </c>
      <c r="ET24" t="s">
        <v>230</v>
      </c>
      <c r="EU24" t="s">
        <v>220</v>
      </c>
      <c r="EV24" t="s">
        <v>231</v>
      </c>
      <c r="EW24" s="3">
        <v>46752</v>
      </c>
      <c r="EX24">
        <v>47</v>
      </c>
      <c r="EY24">
        <v>35280000</v>
      </c>
      <c r="EZ24">
        <v>798000</v>
      </c>
      <c r="FA24" t="s">
        <v>232</v>
      </c>
      <c r="FB24">
        <v>2014</v>
      </c>
      <c r="FE24">
        <v>8736</v>
      </c>
      <c r="FF24">
        <v>21840</v>
      </c>
      <c r="FG24">
        <v>8400</v>
      </c>
      <c r="FH24">
        <v>2940</v>
      </c>
      <c r="FI24">
        <v>4620</v>
      </c>
      <c r="FJ24">
        <v>252</v>
      </c>
      <c r="FK24">
        <v>84</v>
      </c>
      <c r="FL24">
        <v>67</v>
      </c>
      <c r="FM24">
        <v>378</v>
      </c>
      <c r="FN24">
        <v>25</v>
      </c>
      <c r="FO24">
        <v>12.5</v>
      </c>
      <c r="FP24">
        <v>34</v>
      </c>
      <c r="FQ24">
        <v>9</v>
      </c>
      <c r="FR24">
        <v>8</v>
      </c>
      <c r="FT24" t="s">
        <v>235</v>
      </c>
      <c r="FV24">
        <v>1</v>
      </c>
      <c r="FW24" t="s">
        <v>236</v>
      </c>
      <c r="FY24" t="s">
        <v>237</v>
      </c>
      <c r="FZ24" t="s">
        <v>222</v>
      </c>
      <c r="GA24" s="3">
        <v>46157</v>
      </c>
      <c r="GC24" t="s">
        <v>238</v>
      </c>
    </row>
    <row r="25" spans="1:185" x14ac:dyDescent="0.25">
      <c r="A25" t="s">
        <v>473</v>
      </c>
      <c r="B25" t="s">
        <v>474</v>
      </c>
      <c r="C25" t="s">
        <v>475</v>
      </c>
      <c r="D25" t="s">
        <v>476</v>
      </c>
      <c r="E25">
        <v>20</v>
      </c>
      <c r="F25" t="s">
        <v>477</v>
      </c>
      <c r="G25" t="s">
        <v>244</v>
      </c>
      <c r="H25" t="s">
        <v>193</v>
      </c>
      <c r="I25" t="s">
        <v>404</v>
      </c>
      <c r="J25" t="s">
        <v>195</v>
      </c>
      <c r="K25" t="s">
        <v>196</v>
      </c>
      <c r="L25" t="s">
        <v>197</v>
      </c>
      <c r="M25" t="s">
        <v>478</v>
      </c>
      <c r="N25" t="s">
        <v>199</v>
      </c>
      <c r="O25" t="s">
        <v>200</v>
      </c>
      <c r="P25" t="s">
        <v>201</v>
      </c>
      <c r="Q25" t="s">
        <v>202</v>
      </c>
      <c r="R25" t="s">
        <v>203</v>
      </c>
      <c r="S25" t="s">
        <v>204</v>
      </c>
      <c r="T25" t="s">
        <v>205</v>
      </c>
      <c r="U25" t="s">
        <v>206</v>
      </c>
      <c r="V25" t="s">
        <v>207</v>
      </c>
      <c r="W25" t="s">
        <v>479</v>
      </c>
      <c r="X25" t="s">
        <v>480</v>
      </c>
      <c r="Y25" t="s">
        <v>408</v>
      </c>
      <c r="Z25">
        <v>47.43</v>
      </c>
      <c r="AA25">
        <v>0.68</v>
      </c>
      <c r="AB25" t="s">
        <v>250</v>
      </c>
      <c r="AC25" t="s">
        <v>251</v>
      </c>
      <c r="AD25" t="s">
        <v>213</v>
      </c>
      <c r="AE25" t="s">
        <v>214</v>
      </c>
      <c r="AF25">
        <v>50</v>
      </c>
      <c r="AG25" t="s">
        <v>205</v>
      </c>
      <c r="AH25" t="s">
        <v>481</v>
      </c>
      <c r="AI25" t="s">
        <v>482</v>
      </c>
      <c r="AJ25" s="3">
        <v>36586</v>
      </c>
      <c r="AK25" s="3">
        <v>41640</v>
      </c>
      <c r="AL25" s="3">
        <v>44378</v>
      </c>
      <c r="AM25" t="s">
        <v>218</v>
      </c>
      <c r="AN25" t="s">
        <v>219</v>
      </c>
      <c r="AO25" s="3">
        <v>48213</v>
      </c>
      <c r="AP25" s="3">
        <v>46934</v>
      </c>
      <c r="AQ25" t="s">
        <v>220</v>
      </c>
      <c r="AR25" s="3">
        <v>46752</v>
      </c>
      <c r="AS25" s="3">
        <v>46568</v>
      </c>
      <c r="AT25" t="s">
        <v>221</v>
      </c>
      <c r="AV25" t="s">
        <v>222</v>
      </c>
      <c r="AW25">
        <v>873600</v>
      </c>
      <c r="AX25">
        <v>899808</v>
      </c>
      <c r="AY25">
        <v>53.56</v>
      </c>
      <c r="AZ25">
        <v>926802</v>
      </c>
      <c r="BA25">
        <v>55.17</v>
      </c>
      <c r="BB25">
        <v>0.03</v>
      </c>
      <c r="BC25">
        <v>954606</v>
      </c>
      <c r="BD25">
        <v>56.82</v>
      </c>
      <c r="BE25">
        <v>0.03</v>
      </c>
      <c r="BF25">
        <v>983244</v>
      </c>
      <c r="BG25">
        <v>58.53</v>
      </c>
      <c r="BH25">
        <v>0.03</v>
      </c>
      <c r="BI25">
        <v>983244</v>
      </c>
      <c r="BJ25">
        <v>120000</v>
      </c>
      <c r="BK25">
        <v>3</v>
      </c>
      <c r="BM25">
        <v>48.5</v>
      </c>
      <c r="BN25">
        <v>52</v>
      </c>
      <c r="BO25" t="s">
        <v>223</v>
      </c>
      <c r="BP25" t="s">
        <v>224</v>
      </c>
      <c r="BQ25">
        <v>0.045</v>
      </c>
      <c r="BR25">
        <v>140</v>
      </c>
      <c r="BT25" t="s">
        <v>225</v>
      </c>
      <c r="BU25" t="s">
        <v>226</v>
      </c>
      <c r="BY25">
        <v>2020</v>
      </c>
      <c r="BZ25">
        <v>1596000</v>
      </c>
      <c r="CA25">
        <v>672000</v>
      </c>
      <c r="CB25">
        <v>1596000</v>
      </c>
      <c r="CC25">
        <v>95</v>
      </c>
      <c r="CD25">
        <v>672000</v>
      </c>
      <c r="CE25">
        <v>40</v>
      </c>
      <c r="CF25">
        <v>1548120</v>
      </c>
      <c r="CG25">
        <v>92.15</v>
      </c>
      <c r="CH25">
        <v>638400</v>
      </c>
      <c r="CI25">
        <v>38</v>
      </c>
      <c r="CJ25" t="s">
        <v>222</v>
      </c>
      <c r="CL25">
        <v>1501676</v>
      </c>
      <c r="CM25">
        <v>89.39</v>
      </c>
      <c r="CN25">
        <v>606480</v>
      </c>
      <c r="CO25">
        <v>36.1</v>
      </c>
      <c r="CP25">
        <v>2016000</v>
      </c>
      <c r="CQ25">
        <v>0.12</v>
      </c>
      <c r="CR25">
        <v>1456626</v>
      </c>
      <c r="CS25">
        <v>86.7</v>
      </c>
      <c r="CT25">
        <v>576156</v>
      </c>
      <c r="CU25">
        <v>34.3</v>
      </c>
      <c r="CV25">
        <v>2036000</v>
      </c>
      <c r="CW25">
        <v>0.1212</v>
      </c>
      <c r="CY25">
        <v>151200</v>
      </c>
      <c r="CZ25">
        <v>9</v>
      </c>
      <c r="DA25">
        <v>157248</v>
      </c>
      <c r="DB25">
        <v>9.36</v>
      </c>
      <c r="DC25">
        <v>163538</v>
      </c>
      <c r="DD25">
        <v>9.73</v>
      </c>
      <c r="DE25">
        <v>178583</v>
      </c>
      <c r="DF25">
        <v>170079</v>
      </c>
      <c r="DG25">
        <v>10.12</v>
      </c>
      <c r="DH25">
        <v>183958</v>
      </c>
      <c r="DI25">
        <v>10.95</v>
      </c>
      <c r="DJ25">
        <v>38595</v>
      </c>
      <c r="DL25">
        <v>30240</v>
      </c>
      <c r="DM25">
        <v>1.8</v>
      </c>
      <c r="DN25">
        <v>31752</v>
      </c>
      <c r="DO25">
        <v>1.89</v>
      </c>
      <c r="DP25">
        <v>33340</v>
      </c>
      <c r="DQ25">
        <v>1.98</v>
      </c>
      <c r="DR25">
        <v>35007</v>
      </c>
      <c r="DS25">
        <v>2.08</v>
      </c>
      <c r="DT25">
        <v>0.05</v>
      </c>
      <c r="DU25">
        <v>100800</v>
      </c>
      <c r="DV25">
        <v>6</v>
      </c>
      <c r="DW25">
        <v>104832</v>
      </c>
      <c r="DX25">
        <v>6.24</v>
      </c>
      <c r="DY25">
        <v>109025</v>
      </c>
      <c r="DZ25">
        <v>6.49</v>
      </c>
      <c r="EA25">
        <v>0.04</v>
      </c>
      <c r="EB25">
        <v>113386</v>
      </c>
      <c r="EC25">
        <v>6.75</v>
      </c>
      <c r="ED25">
        <v>0.04</v>
      </c>
      <c r="EE25">
        <v>117600</v>
      </c>
      <c r="EP25" s="3">
        <v>43466</v>
      </c>
      <c r="EQ25" t="s">
        <v>205</v>
      </c>
      <c r="ER25" t="s">
        <v>229</v>
      </c>
      <c r="ES25" s="3">
        <v>47118</v>
      </c>
      <c r="ET25" t="s">
        <v>230</v>
      </c>
      <c r="EU25" t="s">
        <v>220</v>
      </c>
      <c r="EV25" t="s">
        <v>231</v>
      </c>
      <c r="EW25" s="3">
        <v>46752</v>
      </c>
      <c r="EX25">
        <v>93</v>
      </c>
      <c r="EY25">
        <v>70560000</v>
      </c>
      <c r="EZ25">
        <v>1596000</v>
      </c>
      <c r="FA25" t="s">
        <v>258</v>
      </c>
      <c r="FB25">
        <v>1995</v>
      </c>
      <c r="FE25">
        <v>17472</v>
      </c>
      <c r="FF25">
        <v>43680</v>
      </c>
      <c r="FG25">
        <v>16800</v>
      </c>
      <c r="FH25">
        <v>5880</v>
      </c>
      <c r="FI25">
        <v>9240</v>
      </c>
      <c r="FJ25">
        <v>504</v>
      </c>
      <c r="FK25">
        <v>168</v>
      </c>
      <c r="FL25">
        <v>134</v>
      </c>
      <c r="FM25">
        <v>756</v>
      </c>
      <c r="FN25">
        <v>25</v>
      </c>
      <c r="FO25">
        <v>12.5</v>
      </c>
      <c r="FP25">
        <v>67</v>
      </c>
      <c r="FQ25">
        <v>19</v>
      </c>
      <c r="FR25">
        <v>15</v>
      </c>
      <c r="FT25" t="s">
        <v>235</v>
      </c>
      <c r="FV25">
        <v>3</v>
      </c>
      <c r="FW25" t="s">
        <v>236</v>
      </c>
      <c r="FY25" t="s">
        <v>237</v>
      </c>
      <c r="FZ25" t="s">
        <v>222</v>
      </c>
      <c r="GA25" s="3">
        <v>46157</v>
      </c>
      <c r="GC25" t="s">
        <v>238</v>
      </c>
    </row>
    <row r="26" spans="1:185" x14ac:dyDescent="0.25">
      <c r="A26" t="s">
        <v>483</v>
      </c>
      <c r="B26" t="s">
        <v>484</v>
      </c>
      <c r="C26" t="s">
        <v>485</v>
      </c>
      <c r="D26" t="s">
        <v>486</v>
      </c>
      <c r="E26">
        <v>21</v>
      </c>
      <c r="F26" t="s">
        <v>487</v>
      </c>
      <c r="G26" t="s">
        <v>192</v>
      </c>
      <c r="H26" t="s">
        <v>193</v>
      </c>
      <c r="I26" t="s">
        <v>488</v>
      </c>
      <c r="J26" t="s">
        <v>195</v>
      </c>
      <c r="K26" t="s">
        <v>196</v>
      </c>
      <c r="L26" t="s">
        <v>197</v>
      </c>
      <c r="M26" t="s">
        <v>489</v>
      </c>
      <c r="N26" t="s">
        <v>199</v>
      </c>
      <c r="O26" t="s">
        <v>200</v>
      </c>
      <c r="P26" t="s">
        <v>201</v>
      </c>
      <c r="Q26" t="s">
        <v>202</v>
      </c>
      <c r="R26" t="s">
        <v>203</v>
      </c>
      <c r="S26" t="s">
        <v>204</v>
      </c>
      <c r="T26" t="s">
        <v>205</v>
      </c>
      <c r="U26" t="s">
        <v>267</v>
      </c>
      <c r="W26" t="s">
        <v>490</v>
      </c>
      <c r="X26" t="s">
        <v>491</v>
      </c>
      <c r="Y26" t="s">
        <v>492</v>
      </c>
      <c r="Z26">
        <v>49.894</v>
      </c>
      <c r="AA26">
        <v>2.295</v>
      </c>
      <c r="AB26" t="s">
        <v>211</v>
      </c>
      <c r="AC26" t="s">
        <v>212</v>
      </c>
      <c r="AD26" t="s">
        <v>213</v>
      </c>
      <c r="AE26" t="s">
        <v>214</v>
      </c>
      <c r="AF26">
        <v>51</v>
      </c>
      <c r="AG26" t="s">
        <v>205</v>
      </c>
      <c r="AH26" t="s">
        <v>493</v>
      </c>
      <c r="AI26" t="s">
        <v>494</v>
      </c>
      <c r="AJ26" s="3">
        <v>36951</v>
      </c>
      <c r="AK26" s="3">
        <v>41640</v>
      </c>
      <c r="AL26" s="3">
        <v>44378</v>
      </c>
      <c r="AM26" t="s">
        <v>218</v>
      </c>
      <c r="AN26" t="s">
        <v>219</v>
      </c>
      <c r="AO26" s="3">
        <v>48213</v>
      </c>
      <c r="AP26" s="3">
        <v>47299</v>
      </c>
      <c r="AQ26" t="s">
        <v>220</v>
      </c>
      <c r="AR26" s="3">
        <v>47118</v>
      </c>
      <c r="AS26" s="3">
        <v>46934</v>
      </c>
      <c r="AT26" t="s">
        <v>221</v>
      </c>
      <c r="AV26" t="s">
        <v>495</v>
      </c>
      <c r="AW26">
        <v>722800</v>
      </c>
      <c r="AX26">
        <v>744484</v>
      </c>
      <c r="AY26">
        <v>53.56</v>
      </c>
      <c r="AZ26">
        <v>766819</v>
      </c>
      <c r="BA26">
        <v>55.17</v>
      </c>
      <c r="BB26">
        <v>0.03</v>
      </c>
      <c r="BC26">
        <v>789823</v>
      </c>
      <c r="BD26">
        <v>56.82</v>
      </c>
      <c r="BE26">
        <v>0.03</v>
      </c>
      <c r="BF26">
        <v>813518</v>
      </c>
      <c r="BG26">
        <v>58.53</v>
      </c>
      <c r="BH26">
        <v>0.03</v>
      </c>
      <c r="BI26">
        <v>813518</v>
      </c>
      <c r="BJ26">
        <v>120000</v>
      </c>
      <c r="BK26">
        <v>3</v>
      </c>
      <c r="BM26">
        <v>48.5</v>
      </c>
      <c r="BN26">
        <v>52</v>
      </c>
      <c r="BO26" t="s">
        <v>223</v>
      </c>
      <c r="BP26" t="s">
        <v>224</v>
      </c>
      <c r="BQ26">
        <v>0.045</v>
      </c>
      <c r="BR26">
        <v>140</v>
      </c>
      <c r="BT26" t="s">
        <v>225</v>
      </c>
      <c r="BU26" t="s">
        <v>496</v>
      </c>
      <c r="BY26">
        <v>2020</v>
      </c>
      <c r="BZ26">
        <v>1320500</v>
      </c>
      <c r="CA26">
        <v>556000</v>
      </c>
      <c r="CB26">
        <v>1320500</v>
      </c>
      <c r="CC26">
        <v>95</v>
      </c>
      <c r="CD26">
        <v>556000</v>
      </c>
      <c r="CE26">
        <v>40</v>
      </c>
      <c r="CF26">
        <v>1280885</v>
      </c>
      <c r="CG26">
        <v>92.15</v>
      </c>
      <c r="CH26">
        <v>528200</v>
      </c>
      <c r="CI26">
        <v>38</v>
      </c>
      <c r="CJ26" t="s">
        <v>222</v>
      </c>
      <c r="CL26">
        <v>1242458</v>
      </c>
      <c r="CM26">
        <v>89.39</v>
      </c>
      <c r="CN26">
        <v>501790</v>
      </c>
      <c r="CO26">
        <v>36.1</v>
      </c>
      <c r="CP26">
        <v>1668</v>
      </c>
      <c r="CQ26">
        <v>0.12</v>
      </c>
      <c r="CR26">
        <v>1205185</v>
      </c>
      <c r="CS26">
        <v>86.7</v>
      </c>
      <c r="CT26">
        <v>476700</v>
      </c>
      <c r="CU26">
        <v>34.29</v>
      </c>
      <c r="CV26">
        <v>1685</v>
      </c>
      <c r="CW26">
        <v>0.1212</v>
      </c>
      <c r="CY26">
        <v>125100</v>
      </c>
      <c r="CZ26">
        <v>9</v>
      </c>
      <c r="DA26">
        <v>130104</v>
      </c>
      <c r="DB26">
        <v>9.36</v>
      </c>
      <c r="DC26">
        <v>135308</v>
      </c>
      <c r="DD26">
        <v>9.73</v>
      </c>
      <c r="DE26">
        <v>147756</v>
      </c>
      <c r="DF26">
        <v>140720</v>
      </c>
      <c r="DG26">
        <v>10.12</v>
      </c>
      <c r="DH26">
        <v>152203</v>
      </c>
      <c r="DI26">
        <v>10.95</v>
      </c>
      <c r="DJ26">
        <v>31933</v>
      </c>
      <c r="DL26">
        <v>25020</v>
      </c>
      <c r="DM26">
        <v>1.8</v>
      </c>
      <c r="DN26">
        <v>26271</v>
      </c>
      <c r="DO26">
        <v>1.89</v>
      </c>
      <c r="DP26">
        <v>27585</v>
      </c>
      <c r="DQ26">
        <v>1.98</v>
      </c>
      <c r="DR26">
        <v>28964</v>
      </c>
      <c r="DS26">
        <v>2.08</v>
      </c>
      <c r="DT26">
        <v>0.05</v>
      </c>
      <c r="DU26">
        <v>83400</v>
      </c>
      <c r="DV26">
        <v>6</v>
      </c>
      <c r="DW26">
        <v>86736</v>
      </c>
      <c r="DX26">
        <v>6.24</v>
      </c>
      <c r="DY26">
        <v>90205</v>
      </c>
      <c r="DZ26">
        <v>6.49</v>
      </c>
      <c r="EA26">
        <v>0.04</v>
      </c>
      <c r="EB26">
        <v>93814</v>
      </c>
      <c r="EC26">
        <v>6.75</v>
      </c>
      <c r="ED26">
        <v>0.04</v>
      </c>
      <c r="EE26">
        <v>97300</v>
      </c>
      <c r="EP26" s="3">
        <v>43466</v>
      </c>
      <c r="EQ26" t="s">
        <v>205</v>
      </c>
      <c r="ER26" t="s">
        <v>229</v>
      </c>
      <c r="ES26" s="3">
        <v>47118</v>
      </c>
      <c r="ET26" t="s">
        <v>230</v>
      </c>
      <c r="EU26" t="s">
        <v>220</v>
      </c>
      <c r="EV26" t="s">
        <v>231</v>
      </c>
      <c r="EW26" s="3">
        <v>46752</v>
      </c>
      <c r="EX26">
        <v>77</v>
      </c>
      <c r="EY26">
        <v>58380000</v>
      </c>
      <c r="EZ26">
        <v>1320500</v>
      </c>
      <c r="FA26" t="s">
        <v>232</v>
      </c>
      <c r="FB26">
        <v>1996</v>
      </c>
      <c r="FE26">
        <v>14456</v>
      </c>
      <c r="FF26">
        <v>36140</v>
      </c>
      <c r="FG26">
        <v>13900</v>
      </c>
      <c r="FH26">
        <v>4865</v>
      </c>
      <c r="FI26">
        <v>7645</v>
      </c>
      <c r="FJ26">
        <v>417</v>
      </c>
      <c r="FK26">
        <v>139</v>
      </c>
      <c r="FL26">
        <v>111</v>
      </c>
      <c r="FM26">
        <v>626</v>
      </c>
      <c r="FN26">
        <v>25</v>
      </c>
      <c r="FO26">
        <v>12.5</v>
      </c>
      <c r="FP26">
        <v>56</v>
      </c>
      <c r="FQ26">
        <v>15</v>
      </c>
      <c r="FR26">
        <v>13</v>
      </c>
      <c r="FS26">
        <v>14108</v>
      </c>
      <c r="FT26" t="s">
        <v>235</v>
      </c>
      <c r="FV26">
        <v>2</v>
      </c>
      <c r="FW26" t="s">
        <v>236</v>
      </c>
      <c r="FY26" t="s">
        <v>237</v>
      </c>
      <c r="FZ26" t="s">
        <v>222</v>
      </c>
      <c r="GA26" s="3">
        <v>46157</v>
      </c>
      <c r="GC26" t="s">
        <v>238</v>
      </c>
    </row>
  </sheetData>
  <mergeCells count="2">
    <mergeCell ref="A1:H1"/>
    <mergeCell ref="A2:H2"/>
  </mergeCells>
  <hyperlinks>
    <hyperlink ref="AG4" r:id="rId1"/>
    <hyperlink ref="BW4" r:id="rId2"/>
    <hyperlink ref="AI20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Référentiel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— fichier de test synthétique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